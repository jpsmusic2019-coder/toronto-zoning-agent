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32 Ardmore Rd" sheetId="2" state="visible" r:id="rId2"/>
    <sheet name="65 Bristol Ave" sheetId="3" state="visible" r:id="rId3"/>
    <sheet name="Applications" sheetId="4" state="visible" r:id="rId4"/>
    <sheet name="Permits" sheetId="5" state="visible" r:id="rId5"/>
    <sheet name="Development Applications" sheetId="6" state="visible" r:id="rId6"/>
    <sheet name="Sources" sheetId="7" state="visible" r:id="rId7"/>
  </sheets>
  <definedNames>
    <definedName name="_xlnm.Print_Titles" localSheetId="0">'Summary'!$4:$5</definedName>
    <definedName name="_xlnm.Print_Area" localSheetId="1">'32 Ardmore Rd'!$A$1:$J$57</definedName>
    <definedName name="_xlnm.Print_Area" localSheetId="2">'65 Bristol Ave'!$A$1:$J$61</definedName>
    <definedName name="_xlnm.Print_Titles" localSheetId="3">'Applications'!$4:$4</definedName>
    <definedName name="_xlnm.Print_Titles" localSheetId="4">'Permits'!$4:$4</definedName>
    <definedName name="_xlnm.Print_Titles" localSheetId="5">'Development Applications'!$4:$4</definedName>
  </definedNames>
  <calcPr calcId="124519" fullCalcOnLoad="1"/>
</workbook>
</file>

<file path=xl/styles.xml><?xml version="1.0" encoding="utf-8"?>
<styleSheet xmlns="http://schemas.openxmlformats.org/spreadsheetml/2006/main">
  <numFmts count="3">
    <numFmt numFmtId="164" formatCode="yyyy-mm-dd"/>
    <numFmt numFmtId="165" formatCode="d mmm yyyy"/>
    <numFmt numFmtId="166" formatCode="$#,##0"/>
  </numFmts>
  <fonts count="36">
    <font>
      <name val="Calibri"/>
      <family val="2"/>
      <color theme="1"/>
      <sz val="11"/>
      <scheme val="minor"/>
    </font>
    <font>
      <name val="Arial"/>
      <color rgb="00111820"/>
      <sz val="10"/>
    </font>
    <font>
      <name val="Arial"/>
      <b val="1"/>
      <color rgb="00FFFFFF"/>
      <sz val="16"/>
    </font>
    <font>
      <name val="Arial"/>
      <color rgb="004A3F36"/>
      <sz val="11"/>
    </font>
    <font>
      <name val="Arial"/>
      <b val="1"/>
      <color rgb="004A3F36"/>
      <sz val="9"/>
    </font>
    <font>
      <name val="Arial"/>
      <b val="1"/>
      <color rgb="00FFFFFF"/>
      <sz val="10"/>
    </font>
    <font>
      <name val="Arial"/>
      <b val="1"/>
      <color rgb="004D6B84"/>
      <sz val="11"/>
      <u val="single"/>
    </font>
    <font>
      <name val="Arial"/>
      <color rgb="00111820"/>
      <sz val="11"/>
    </font>
    <font>
      <name val="Arial"/>
      <b val="1"/>
      <color rgb="00111820"/>
      <sz val="11"/>
    </font>
    <font>
      <name val="Arial"/>
      <b val="1"/>
      <color rgb="00166534"/>
      <sz val="11"/>
    </font>
    <font>
      <name val="Arial"/>
      <color rgb="00166534"/>
      <sz val="11"/>
    </font>
    <font>
      <name val="Arial"/>
      <color rgb="004D6B84"/>
      <sz val="11"/>
      <u val="single"/>
    </font>
    <font>
      <name val="Arial"/>
      <color rgb="008A7E72"/>
      <sz val="10"/>
    </font>
    <font>
      <name val="Arial"/>
      <b val="1"/>
      <color rgb="00FFFFFF"/>
      <sz val="18"/>
    </font>
    <font>
      <name val="Arial"/>
      <b val="1"/>
      <color rgb="002A2410"/>
      <sz val="14"/>
    </font>
    <font>
      <name val="Arial"/>
      <b val="1"/>
      <color rgb="002A3A4A"/>
      <sz val="11"/>
    </font>
    <font>
      <name val="Arial"/>
      <b val="1"/>
      <color rgb="00166534"/>
      <sz val="13"/>
    </font>
    <font>
      <name val="Arial"/>
      <color rgb="00111820"/>
      <sz val="12"/>
    </font>
    <font>
      <name val="Arial"/>
      <i val="1"/>
      <color rgb="008A7E72"/>
      <sz val="10"/>
    </font>
    <font>
      <name val="Arial"/>
      <color rgb="004A3F36"/>
      <sz val="10"/>
    </font>
    <font>
      <name val="Arial"/>
      <b val="1"/>
      <color rgb="00111820"/>
      <sz val="20"/>
    </font>
    <font>
      <name val="Arial"/>
      <b val="1"/>
      <color rgb="00111820"/>
      <sz val="12"/>
    </font>
    <font>
      <name val="Arial"/>
      <b val="1"/>
      <color rgb="004D6B84"/>
      <sz val="11"/>
    </font>
    <font>
      <name val="Arial"/>
      <b val="1"/>
      <color rgb="004A3F36"/>
      <sz val="11"/>
    </font>
    <font>
      <name val="Arial"/>
      <b val="1"/>
      <color rgb="00111820"/>
      <sz val="13"/>
    </font>
    <font>
      <name val="Arial"/>
      <b val="1"/>
      <color rgb="004A3F36"/>
      <sz val="10"/>
    </font>
    <font>
      <name val="Arial"/>
      <color rgb="008A7E72"/>
      <sz val="9"/>
    </font>
    <font>
      <name val="Arial"/>
      <b val="1"/>
      <color rgb="00991B1B"/>
      <sz val="11"/>
    </font>
    <font>
      <name val="Arial"/>
      <color rgb="004D6B84"/>
      <sz val="10"/>
      <u val="single"/>
    </font>
    <font>
      <name val="Arial"/>
      <b val="1"/>
      <color rgb="00FFFFFF"/>
      <sz val="9"/>
    </font>
    <font>
      <name val="Arial"/>
      <b val="1"/>
      <color rgb="00166534"/>
      <sz val="10"/>
    </font>
    <font>
      <name val="Arial"/>
      <b val="1"/>
      <color rgb="00991B1B"/>
      <sz val="10"/>
    </font>
    <font>
      <name val="Arial"/>
      <b val="1"/>
      <color rgb="006B4A00"/>
      <sz val="10"/>
    </font>
    <font>
      <name val="Arial"/>
      <b val="1"/>
      <color rgb="002A3A4A"/>
      <sz val="10"/>
    </font>
    <font>
      <name val="Arial"/>
      <b val="1"/>
      <color rgb="00111820"/>
      <sz val="10"/>
    </font>
    <font>
      <name val="Arial"/>
      <i val="1"/>
      <color rgb="008A7E72"/>
      <sz val="9"/>
    </font>
  </fonts>
  <fills count="12">
    <fill>
      <patternFill/>
    </fill>
    <fill>
      <patternFill patternType="gray125"/>
    </fill>
    <fill>
      <patternFill patternType="solid">
        <fgColor rgb="004D6B84"/>
      </patternFill>
    </fill>
    <fill>
      <patternFill patternType="solid">
        <fgColor rgb="00F7F2EA"/>
      </patternFill>
    </fill>
    <fill>
      <patternFill patternType="solid">
        <fgColor rgb="00E4EDF4"/>
      </patternFill>
    </fill>
    <fill>
      <patternFill patternType="solid">
        <fgColor rgb="002A3A4A"/>
      </patternFill>
    </fill>
    <fill>
      <patternFill patternType="solid">
        <fgColor rgb="00DCFCE7"/>
      </patternFill>
    </fill>
    <fill>
      <patternFill patternType="solid">
        <fgColor rgb="00F0D77A"/>
      </patternFill>
    </fill>
    <fill>
      <patternFill patternType="solid">
        <fgColor rgb="00E6F4EA"/>
      </patternFill>
    </fill>
    <fill>
      <patternFill patternType="solid">
        <fgColor rgb="00FDECEC"/>
      </patternFill>
    </fill>
    <fill>
      <patternFill patternType="solid">
        <fgColor rgb="00FFF4D6"/>
      </patternFill>
    </fill>
    <fill>
      <patternFill patternType="solid">
        <fgColor rgb="00F1F3F4"/>
      </patternFill>
    </fill>
  </fills>
  <borders count="5">
    <border>
      <left/>
      <right/>
      <top/>
      <bottom/>
      <diagonal/>
    </border>
    <border>
      <left style="thin">
        <color rgb="00C5B9AD"/>
      </left>
      <top style="thin">
        <color rgb="00C5B9AD"/>
      </top>
    </border>
    <border>
      <top style="thin">
        <color rgb="00C5B9AD"/>
      </top>
    </border>
    <border>
      <bottom style="thin">
        <color rgb="00C5B9AD"/>
      </bottom>
    </border>
    <border>
      <bottom style="medium">
        <color rgb="002A3A4A"/>
      </bottom>
    </border>
  </borders>
  <cellStyleXfs count="1">
    <xf numFmtId="0" fontId="1" fillId="0" borderId="0"/>
  </cellStyleXfs>
  <cellXfs count="81">
    <xf numFmtId="0" fontId="0" fillId="0" borderId="0" pivotButton="0" quotePrefix="0" xfId="0"/>
    <xf numFmtId="0" fontId="2" fillId="2" borderId="0" applyAlignment="1" pivotButton="0" quotePrefix="0" xfId="0">
      <alignment vertical="center" indent="1"/>
    </xf>
    <xf numFmtId="0" fontId="3" fillId="3" borderId="0" applyAlignment="1" pivotButton="0" quotePrefix="0" xfId="0">
      <alignment vertical="center" wrapText="1" indent="1"/>
    </xf>
    <xf numFmtId="0" fontId="4" fillId="4" borderId="1" applyAlignment="1" pivotButton="0" quotePrefix="0" xfId="0">
      <alignment horizontal="left" vertical="center" indent="1"/>
    </xf>
    <xf numFmtId="0" fontId="0" fillId="4" borderId="2" pivotButton="0" quotePrefix="0" xfId="0"/>
    <xf numFmtId="0" fontId="5" fillId="5" borderId="0" applyAlignment="1" pivotButton="0" quotePrefix="0" xfId="0">
      <alignment horizontal="left" vertical="center" wrapText="1"/>
    </xf>
    <xf numFmtId="0" fontId="5" fillId="5" borderId="0" applyAlignment="1" pivotButton="0" quotePrefix="0" xfId="0">
      <alignment horizontal="center" vertical="center" wrapText="1"/>
    </xf>
    <xf numFmtId="0" fontId="6" fillId="0" borderId="3" applyAlignment="1" pivotButton="0" quotePrefix="0" xfId="0">
      <alignment vertical="center" wrapText="1"/>
    </xf>
    <xf numFmtId="0" fontId="0" fillId="0" borderId="3" applyAlignment="1" pivotButton="0" quotePrefix="0" xfId="0">
      <alignment vertical="center" wrapText="1"/>
    </xf>
    <xf numFmtId="0" fontId="0" fillId="0" borderId="3" applyAlignment="1" pivotButton="0" quotePrefix="0" xfId="0">
      <alignment horizontal="center" vertical="center"/>
    </xf>
    <xf numFmtId="2" fontId="0" fillId="0" borderId="3" applyAlignment="1" pivotButton="0" quotePrefix="0" xfId="0">
      <alignment horizontal="center" vertical="center"/>
    </xf>
    <xf numFmtId="3" fontId="0" fillId="0" borderId="3" applyAlignment="1" pivotButton="0" quotePrefix="0" xfId="0">
      <alignment horizontal="center" vertical="center"/>
    </xf>
    <xf numFmtId="3" fontId="7" fillId="0" borderId="3" applyAlignment="1" pivotButton="0" quotePrefix="0" xfId="0">
      <alignment horizontal="center" vertical="center"/>
    </xf>
    <xf numFmtId="9" fontId="8" fillId="0" borderId="3" applyAlignment="1" pivotButton="0" quotePrefix="0" xfId="0">
      <alignment horizontal="center" vertical="center"/>
    </xf>
    <xf numFmtId="0" fontId="9" fillId="6" borderId="3" applyAlignment="1" pivotButton="0" quotePrefix="0" xfId="0">
      <alignment vertical="center" wrapText="1"/>
    </xf>
    <xf numFmtId="0" fontId="10" fillId="0" borderId="3" applyAlignment="1" pivotButton="0" quotePrefix="0" xfId="0">
      <alignment vertical="center" wrapText="1"/>
    </xf>
    <xf numFmtId="0" fontId="11" fillId="0" borderId="3" applyAlignment="1" pivotButton="0" quotePrefix="0" xfId="0">
      <alignment vertical="center" wrapText="1"/>
    </xf>
    <xf numFmtId="0" fontId="12" fillId="0" borderId="0" applyAlignment="1" pivotButton="0" quotePrefix="0" xfId="0">
      <alignment vertical="top" wrapText="1"/>
    </xf>
    <xf numFmtId="0" fontId="13" fillId="2" borderId="0" applyAlignment="1" pivotButton="0" quotePrefix="0" xfId="0">
      <alignment vertical="center" indent="1"/>
    </xf>
    <xf numFmtId="0" fontId="14" fillId="7" borderId="0" applyAlignment="1" pivotButton="0" quotePrefix="0" xfId="0">
      <alignment horizontal="center" vertical="center"/>
    </xf>
    <xf numFmtId="0" fontId="11" fillId="0" borderId="0" pivotButton="0" quotePrefix="0" xfId="0"/>
    <xf numFmtId="0" fontId="15" fillId="0" borderId="4" applyAlignment="1" pivotButton="0" quotePrefix="0" xfId="0">
      <alignment vertical="bottom" wrapText="1"/>
    </xf>
    <xf numFmtId="0" fontId="0" fillId="0" borderId="4" pivotButton="0" quotePrefix="0" xfId="0"/>
    <xf numFmtId="0" fontId="16" fillId="6" borderId="0" applyAlignment="1" pivotButton="0" quotePrefix="0" xfId="0">
      <alignment vertical="center" wrapText="1" indent="1"/>
    </xf>
    <xf numFmtId="0" fontId="17" fillId="0" borderId="0" applyAlignment="1" pivotButton="0" quotePrefix="0" xfId="0">
      <alignment vertical="top" wrapText="1"/>
    </xf>
    <xf numFmtId="0" fontId="18" fillId="0" borderId="0" applyAlignment="1" pivotButton="0" quotePrefix="0" xfId="0">
      <alignment vertical="top" wrapText="1"/>
    </xf>
    <xf numFmtId="0" fontId="19" fillId="0" borderId="0" applyAlignment="1" pivotButton="0" quotePrefix="0" xfId="0">
      <alignment vertical="bottom" wrapText="1"/>
    </xf>
    <xf numFmtId="3" fontId="20" fillId="0" borderId="0" applyAlignment="1" pivotButton="0" quotePrefix="0" xfId="0">
      <alignment horizontal="left" vertical="center" wrapText="1"/>
    </xf>
    <xf numFmtId="9" fontId="20" fillId="0" borderId="0" applyAlignment="1" pivotButton="0" quotePrefix="0" xfId="0">
      <alignment horizontal="left" vertical="center"/>
    </xf>
    <xf numFmtId="3" fontId="20" fillId="0" borderId="0" applyAlignment="1" pivotButton="0" quotePrefix="0" xfId="0">
      <alignment horizontal="left" vertical="center"/>
    </xf>
    <xf numFmtId="0" fontId="3" fillId="0" borderId="3" applyAlignment="1" pivotButton="0" quotePrefix="0" xfId="0">
      <alignment vertical="top" wrapText="1"/>
    </xf>
    <xf numFmtId="0" fontId="0" fillId="0" borderId="3" pivotButton="0" quotePrefix="0" xfId="0"/>
    <xf numFmtId="0" fontId="21" fillId="0" borderId="3" applyAlignment="1" pivotButton="0" quotePrefix="0" xfId="0">
      <alignment vertical="top" wrapText="1"/>
    </xf>
    <xf numFmtId="0" fontId="11" fillId="0" borderId="3" applyAlignment="1" pivotButton="0" quotePrefix="0" xfId="0">
      <alignment vertical="top" wrapText="1"/>
    </xf>
    <xf numFmtId="0" fontId="8" fillId="0" borderId="3" applyAlignment="1" pivotButton="0" quotePrefix="0" xfId="0">
      <alignment vertical="top" wrapText="1"/>
    </xf>
    <xf numFmtId="0" fontId="5" fillId="5" borderId="0" applyAlignment="1" pivotButton="0" quotePrefix="0" xfId="0">
      <alignment vertical="center" wrapText="1" indent="1"/>
    </xf>
    <xf numFmtId="0" fontId="5" fillId="5" borderId="0" applyAlignment="1" pivotButton="0" quotePrefix="0" xfId="0">
      <alignment vertical="center" indent="1"/>
    </xf>
    <xf numFmtId="0" fontId="5" fillId="5" borderId="0" applyAlignment="1" pivotButton="0" quotePrefix="0" xfId="0">
      <alignment vertical="center"/>
    </xf>
    <xf numFmtId="165" fontId="3" fillId="0" borderId="3" applyAlignment="1" pivotButton="0" quotePrefix="0" xfId="0">
      <alignment horizontal="left" vertical="top" indent="1"/>
    </xf>
    <xf numFmtId="0" fontId="8" fillId="0" borderId="3" applyAlignment="1" pivotButton="0" quotePrefix="0" xfId="0">
      <alignment vertical="top" wrapText="1" indent="1"/>
    </xf>
    <xf numFmtId="0" fontId="3" fillId="0" borderId="3" applyAlignment="1" pivotButton="0" quotePrefix="0" xfId="0">
      <alignment vertical="top" indent="1"/>
    </xf>
    <xf numFmtId="0" fontId="19" fillId="0" borderId="3" applyAlignment="1" pivotButton="0" quotePrefix="0" xfId="0">
      <alignment vertical="top" wrapText="1" indent="1"/>
    </xf>
    <xf numFmtId="0" fontId="22" fillId="0" borderId="3" applyAlignment="1" pivotButton="0" quotePrefix="0" xfId="0">
      <alignment vertical="top" wrapText="1" indent="1"/>
    </xf>
    <xf numFmtId="0" fontId="0" fillId="5" borderId="0" pivotButton="0" quotePrefix="0" xfId="0"/>
    <xf numFmtId="0" fontId="7" fillId="0" borderId="3" applyAlignment="1" pivotButton="0" quotePrefix="0" xfId="0">
      <alignment vertical="center" wrapText="1" indent="1"/>
    </xf>
    <xf numFmtId="3" fontId="8" fillId="0" borderId="3" applyAlignment="1" pivotButton="0" quotePrefix="0" xfId="0">
      <alignment horizontal="center"/>
    </xf>
    <xf numFmtId="3" fontId="7" fillId="0" borderId="3" applyAlignment="1" pivotButton="0" quotePrefix="0" xfId="0">
      <alignment horizontal="center"/>
    </xf>
    <xf numFmtId="9" fontId="8" fillId="0" borderId="3" applyAlignment="1" pivotButton="0" quotePrefix="0" xfId="0">
      <alignment horizontal="center"/>
    </xf>
    <xf numFmtId="0" fontId="23" fillId="0" borderId="0" applyAlignment="1" pivotButton="0" quotePrefix="0" xfId="0">
      <alignment vertical="center" wrapText="1" indent="1"/>
    </xf>
    <xf numFmtId="0" fontId="19" fillId="0" borderId="0" applyAlignment="1" pivotButton="0" quotePrefix="0" xfId="0">
      <alignment horizontal="right" vertical="center"/>
    </xf>
    <xf numFmtId="3" fontId="24" fillId="0" borderId="0" applyAlignment="1" pivotButton="0" quotePrefix="0" xfId="0">
      <alignment horizontal="left" vertical="center" indent="1"/>
    </xf>
    <xf numFmtId="0" fontId="25" fillId="0" borderId="3" applyAlignment="1" pivotButton="0" quotePrefix="0" xfId="0">
      <alignment vertical="top" wrapText="1" indent="1"/>
    </xf>
    <xf numFmtId="0" fontId="19" fillId="0" borderId="3" applyAlignment="1" pivotButton="0" quotePrefix="0" xfId="0">
      <alignment vertical="top" wrapText="1"/>
    </xf>
    <xf numFmtId="0" fontId="26" fillId="0" borderId="0" applyAlignment="1" pivotButton="0" quotePrefix="0" xfId="0">
      <alignment vertical="top" wrapText="1"/>
    </xf>
    <xf numFmtId="0" fontId="27" fillId="0" borderId="3" applyAlignment="1" pivotButton="0" quotePrefix="0" xfId="0">
      <alignment vertical="top" wrapText="1" indent="1"/>
    </xf>
    <xf numFmtId="0" fontId="12" fillId="0" borderId="0" applyAlignment="1" pivotButton="0" quotePrefix="0" xfId="0">
      <alignment vertical="center"/>
    </xf>
    <xf numFmtId="0" fontId="19" fillId="3" borderId="0" applyAlignment="1" pivotButton="0" quotePrefix="0" xfId="0">
      <alignment vertical="center" wrapText="1" indent="1"/>
    </xf>
    <xf numFmtId="0" fontId="28" fillId="0" borderId="0" pivotButton="0" quotePrefix="0" xfId="0"/>
    <xf numFmtId="0" fontId="29" fillId="5" borderId="0" applyAlignment="1" pivotButton="0" quotePrefix="0" xfId="0">
      <alignment vertical="center" wrapText="1"/>
    </xf>
    <xf numFmtId="0" fontId="1" fillId="0" borderId="3" applyAlignment="1" pivotButton="0" quotePrefix="0" xfId="0">
      <alignment vertical="top"/>
    </xf>
    <xf numFmtId="3" fontId="1" fillId="0" borderId="3" applyAlignment="1" pivotButton="0" quotePrefix="0" xfId="0">
      <alignment horizontal="center" vertical="center"/>
    </xf>
    <xf numFmtId="0" fontId="28" fillId="0" borderId="3" applyAlignment="1" pivotButton="0" quotePrefix="0" xfId="0">
      <alignment vertical="top"/>
    </xf>
    <xf numFmtId="0" fontId="30" fillId="8" borderId="3" applyAlignment="1" pivotButton="0" quotePrefix="0" xfId="0">
      <alignment vertical="top"/>
    </xf>
    <xf numFmtId="165" fontId="1" fillId="0" borderId="3" applyAlignment="1" pivotButton="0" quotePrefix="0" xfId="0">
      <alignment vertical="top"/>
    </xf>
    <xf numFmtId="3" fontId="1" fillId="0" borderId="3" applyAlignment="1" pivotButton="0" quotePrefix="0" xfId="0">
      <alignment vertical="top"/>
    </xf>
    <xf numFmtId="0" fontId="1" fillId="0" borderId="3" applyAlignment="1" pivotButton="0" quotePrefix="0" xfId="0">
      <alignment vertical="top" wrapText="1"/>
    </xf>
    <xf numFmtId="0" fontId="31" fillId="9" borderId="3" applyAlignment="1" pivotButton="0" quotePrefix="0" xfId="0">
      <alignment vertical="top"/>
    </xf>
    <xf numFmtId="0" fontId="32" fillId="10" borderId="3" applyAlignment="1" pivotButton="0" quotePrefix="0" xfId="0">
      <alignment vertical="top"/>
    </xf>
    <xf numFmtId="0" fontId="25" fillId="11" borderId="3" applyAlignment="1" pivotButton="0" quotePrefix="0" xfId="0">
      <alignment vertical="top"/>
    </xf>
    <xf numFmtId="0" fontId="0" fillId="0" borderId="3" applyAlignment="1" pivotButton="0" quotePrefix="0" xfId="0">
      <alignment vertical="top"/>
    </xf>
    <xf numFmtId="166" fontId="1" fillId="0" borderId="3" applyAlignment="1" pivotButton="0" quotePrefix="0" xfId="0">
      <alignment vertical="top"/>
    </xf>
    <xf numFmtId="0" fontId="33" fillId="0" borderId="4" applyAlignment="1" pivotButton="0" quotePrefix="0" xfId="0">
      <alignment vertical="bottom"/>
    </xf>
    <xf numFmtId="0" fontId="29" fillId="5" borderId="0" applyAlignment="1" pivotButton="0" quotePrefix="0" xfId="0">
      <alignment vertical="center"/>
    </xf>
    <xf numFmtId="0" fontId="34" fillId="0" borderId="3" applyAlignment="1" pivotButton="0" quotePrefix="0" xfId="0">
      <alignment vertical="top" wrapText="1"/>
    </xf>
    <xf numFmtId="0" fontId="35" fillId="0" borderId="0" applyAlignment="1" pivotButton="0" quotePrefix="0" xfId="0">
      <alignment vertical="top" wrapText="1"/>
    </xf>
    <xf numFmtId="0" fontId="29" fillId="5" borderId="0" pivotButton="0" quotePrefix="0" xfId="0"/>
    <xf numFmtId="0" fontId="1" fillId="0" borderId="3" pivotButton="0" quotePrefix="0" xfId="0"/>
    <xf numFmtId="0" fontId="19" fillId="0" borderId="3" pivotButton="0" quotePrefix="0" xfId="0"/>
    <xf numFmtId="0" fontId="34" fillId="0" borderId="0" applyAlignment="1" pivotButton="0" quotePrefix="0" xfId="0">
      <alignment vertical="top"/>
    </xf>
    <xf numFmtId="0" fontId="19" fillId="0" borderId="0" applyAlignment="1" pivotButton="0" quotePrefix="0" xfId="0">
      <alignment vertical="top" wrapText="1"/>
    </xf>
    <xf numFmtId="0" fontId="2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Parcis</author>
  </authors>
  <commentList>
    <comment ref="O6" authorId="0" shapeId="0">
      <text>
        <t>Median of 9 decided files filed since Sep 2023 (filing to hearing). All years: 16 weeks (39 files). Weeks are rounded.</t>
      </text>
    </comment>
    <comment ref="O7" authorId="0" shapeId="0">
      <text>
        <t>Median of 8 decided files filed since Sep 2023 (filing to hearing). All years: 14 weeks (21 files). Weeks are rounded.</t>
      </text>
    </comment>
  </commentList>
</comments>
</file>

<file path=xl/comments/comment2.xml><?xml version="1.0" encoding="utf-8"?>
<comments xmlns="http://schemas.openxmlformats.org/spreadsheetml/2006/main">
  <authors>
    <author>Parcis</author>
  </authors>
  <commentList>
    <comment ref="E12" authorId="0" shapeId="0">
      <text>
        <t>Median of 9 decided files filed since Sep 2023 (filing to hearing). All years: 16 weeks (39 files). Weeks are rounded.</t>
      </text>
    </comment>
  </commentList>
</comments>
</file>

<file path=xl/comments/comment3.xml><?xml version="1.0" encoding="utf-8"?>
<comments xmlns="http://schemas.openxmlformats.org/spreadsheetml/2006/main">
  <authors>
    <author>Parcis</author>
  </authors>
  <commentList>
    <comment ref="E12" authorId="0" shapeId="0">
      <text>
        <t>Median of 8 decided files filed since Sep 2023 (filing to hearing). All years: 14 weeks (21 files). Weeks are rounded.</t>
      </text>
    </comment>
  </commentList>
</comments>
</file>

<file path=xl/tables/table1.xml><?xml version="1.0" encoding="utf-8"?>
<table xmlns="http://schemas.openxmlformats.org/spreadsheetml/2006/main" id="1" name="Applications" displayName="Applications" ref="A4:R74" headerRowCount="1">
  <autoFilter ref="A4:R74"/>
  <tableColumns count="18">
    <tableColumn id="1" name="Lot"/>
    <tableColumn id="2" name="Dist. (m)"/>
    <tableColumn id="3" name="Address"/>
    <tableColumn id="4" name="File"/>
    <tableColumn id="5" name="Documents"/>
    <tableColumn id="6" name="Application"/>
    <tableColumn id="7" name="Project type"/>
    <tableColumn id="8" name="Storeys"/>
    <tableColumn id="9" name="Outcome"/>
    <tableColumn id="10" name="Decision on file"/>
    <tableColumn id="11" name="Filed"/>
    <tableColumn id="12" name="Hearing"/>
    <tableColumn id="13" name="Weeks to hearing"/>
    <tableColumn id="14" name="Appeal"/>
    <tableColumn id="15" name="Built under permit"/>
    <tableColumn id="16" name="What was asked"/>
    <tableColumn id="17" name="Map"/>
    <tableColumn id="18" name="Raw City data"/>
  </tableColumns>
  <tableStyleInfo name="TableStyleLight1" showRowStripes="1"/>
</table>
</file>

<file path=xl/tables/table2.xml><?xml version="1.0" encoding="utf-8"?>
<table xmlns="http://schemas.openxmlformats.org/spreadsheetml/2006/main" id="2" name="Permits" displayName="Permits" ref="A4:S396" headerRowCount="1">
  <autoFilter ref="A4:S396"/>
  <tableColumns count="19">
    <tableColumn id="1" name="Lot"/>
    <tableColumn id="2" name="Dist. (m)"/>
    <tableColumn id="3" name="Address"/>
    <tableColumn id="4" name="Permit"/>
    <tableColumn id="5" name="Documents"/>
    <tableColumn id="6" name="Category"/>
    <tableColumn id="7" name="Permit types"/>
    <tableColumn id="8" name="Structure"/>
    <tableColumn id="9" name="Status"/>
    <tableColumn id="10" name="Applied"/>
    <tableColumn id="11" name="Issued"/>
    <tableColumn id="12" name="Completed"/>
    <tableColumn id="13" name="Est. cost"/>
    <tableColumn id="14" name="Cost note"/>
    <tableColumn id="15" name="Units"/>
    <tableColumn id="16" name="Cites variance"/>
    <tableColumn id="17" name="Description"/>
    <tableColumn id="18" name="Map"/>
    <tableColumn id="19" name="Raw City data"/>
  </tableColumns>
  <tableStyleInfo name="TableStyleLight1" showRowStripes="1"/>
</table>
</file>

<file path=xl/tables/table3.xml><?xml version="1.0" encoding="utf-8"?>
<table xmlns="http://schemas.openxmlformats.org/spreadsheetml/2006/main" id="3" name="DevelopmentApplications" displayName="DevelopmentApplications" ref="A4:K7" headerRowCount="1">
  <autoFilter ref="A4:K7"/>
  <tableColumns count="11">
    <tableColumn id="1" name="Lot"/>
    <tableColumn id="2" name="Dist. (m)"/>
    <tableColumn id="3" name="Address"/>
    <tableColumn id="4" name="Application"/>
    <tableColumn id="5" name="Documents"/>
    <tableColumn id="6" name="Type"/>
    <tableColumn id="7" name="Status"/>
    <tableColumn id="8" name="Submitted"/>
    <tableColumn id="9" name="Description"/>
    <tableColumn id="10" name="Map"/>
    <tableColumn id="11" name="Raw City data"/>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2-ardmore-rd.html" TargetMode="External" Id="rId1" /><Relationship Type="http://schemas.openxmlformats.org/officeDocument/2006/relationships/hyperlink" Target="https://www.google.com/maps/search/?api=1&amp;query=43.6948109466841,-79.4183654413362" TargetMode="External" Id="rId2" /><Relationship Type="http://schemas.openxmlformats.org/officeDocument/2006/relationships/hyperlink" Target="https://www.google.com/maps/@?api=1&amp;map_action=pano&amp;viewpoint=43.6948109466841,-79.4183654413362" TargetMode="External" Id="rId3" /><Relationship Type="http://schemas.openxmlformats.org/officeDocument/2006/relationships/hyperlink" Target="65-bristol-ave.html" TargetMode="External" Id="rId4" /><Relationship Type="http://schemas.openxmlformats.org/officeDocument/2006/relationships/hyperlink" Target="https://www.google.com/maps/search/?api=1&amp;query=43.6714707482597,-79.4385059576614" TargetMode="External" Id="rId5" /><Relationship Type="http://schemas.openxmlformats.org/officeDocument/2006/relationships/hyperlink" Target="https://www.google.com/maps/@?api=1&amp;map_action=pano&amp;viewpoint=43.6714707482597,-79.4385059576614"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hyperlink" Target="32-ardmore-rd.html" TargetMode="External" Id="rId1" /><Relationship Type="http://schemas.openxmlformats.org/officeDocument/2006/relationships/hyperlink" Target="https://www.google.com/maps/search/?api=1&amp;query=43.6948109466841,-79.4183654413362" TargetMode="External" Id="rId2" /><Relationship Type="http://schemas.openxmlformats.org/officeDocument/2006/relationships/hyperlink" Target="https://www.google.com/maps/@?api=1&amp;map_action=pano&amp;viewpoint=43.6948109466841,-79.4183654413362" TargetMode="External" Id="rId3" /><Relationship Type="http://schemas.openxmlformats.org/officeDocument/2006/relationships/hyperlink" Target="https://map.toronto.ca/gccmaps/?app=zoning&amp;center=-79.418365,43.694811&amp;scale=1128" TargetMode="External" Id="rId4" /><Relationship Type="http://schemas.openxmlformats.org/officeDocument/2006/relationships/hyperlink" Target="https://www.toronto.ca/zoning/bylaw_amendments/ZBL_NewProvision_Chapter10_20.htm" TargetMode="External" Id="rId5" /><Relationship Type="http://schemas.openxmlformats.org/officeDocument/2006/relationships/hyperlink" Target="https://www.toronto.ca/zoning/bylaw_amendments/ZBL_NewProvision_Chapter900_3.htm" TargetMode="External" Id="rId6" /><Relationship Type="http://schemas.openxmlformats.org/officeDocument/2006/relationships/hyperlink" Target="https://www.toronto.ca/city-government/planning-development/committee-of-adjustment/more-information-about-application/" TargetMode="External" Id="rId7" /><Relationship Type="http://schemas.openxmlformats.org/officeDocument/2006/relationships/hyperlink" Target="https://www.toronto.ca/city-government/planning-development/committee-of-adjustment/more-information-about-application/" TargetMode="External" Id="rId8" /><Relationship Type="http://schemas.openxmlformats.org/officeDocument/2006/relationships/hyperlink" Target="https://secure.toronto.ca/ApplicationStatus/setup.do?action=init" TargetMode="External" Id="rId9" /><Relationship Type="http://schemas.openxmlformats.org/officeDocument/2006/relationships/hyperlink" Target="https://www.toronto.ca/services-payments/building-construction/building-permit/before-you-apply-for-a-building-permit/preliminary-zoning-reviews-information/request-building-records/" TargetMode="External" Id="rId10" /><Relationship Type="http://schemas.openxmlformats.org/officeDocument/2006/relationships/hyperlink" Target="https://secure.toronto.ca/ApplicationStatus/setup.do?action=init" TargetMode="External" Id="rId11" /><Relationship Type="http://schemas.openxmlformats.org/officeDocument/2006/relationships/hyperlink" Target="https://www.toronto.ca/services-payments/building-construction/building-permit/before-you-apply-for-a-building-permit/preliminary-zoning-reviews-information/request-building-records/" TargetMode="External" Id="rId12" /><Relationship Type="http://schemas.openxmlformats.org/officeDocument/2006/relationships/hyperlink" Target="https://www.toronto.ca/services-payments/building-construction/building-permit/before-you-apply-for-a-building-permit/preliminary-zoning-reviews-information/request-building-records/" TargetMode="External" Id="rId13" /><Relationship Type="http://schemas.openxmlformats.org/officeDocument/2006/relationships/hyperlink" Target="https://secure.toronto.ca/ApplicationStatus/setup.do?action=init" TargetMode="External" Id="rId14" /><Relationship Type="http://schemas.openxmlformats.org/officeDocument/2006/relationships/hyperlink" Target="https://www.toronto.ca/city-government/planning-development/application-details/?id=5888249&amp;pid=290129&amp;title=210-ROSEMARY-RD" TargetMode="External" Id="rId15" /><Relationship Type="http://schemas.openxmlformats.org/officeDocument/2006/relationships/hyperlink" Target="https://www.toronto.ca/city-government/planning-development/committee-of-adjustment/more-information-about-application/" TargetMode="External" Id="rId16" /><Relationship Type="http://schemas.openxmlformats.org/officeDocument/2006/relationships/hyperlink" Target="https://www.toronto.ca/city-government/planning-development/committee-of-adjustment/more-information-about-application/" TargetMode="External" Id="rId17"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hyperlink" Target="65-bristol-ave.html" TargetMode="External" Id="rId1" /><Relationship Type="http://schemas.openxmlformats.org/officeDocument/2006/relationships/hyperlink" Target="https://www.google.com/maps/search/?api=1&amp;query=43.6714707482597,-79.4385059576614" TargetMode="External" Id="rId2" /><Relationship Type="http://schemas.openxmlformats.org/officeDocument/2006/relationships/hyperlink" Target="https://www.google.com/maps/@?api=1&amp;map_action=pano&amp;viewpoint=43.6714707482597,-79.4385059576614" TargetMode="External" Id="rId3" /><Relationship Type="http://schemas.openxmlformats.org/officeDocument/2006/relationships/hyperlink" Target="https://map.toronto.ca/gccmaps/?app=zoning&amp;center=-79.438506,43.671471&amp;scale=1128" TargetMode="External" Id="rId4" /><Relationship Type="http://schemas.openxmlformats.org/officeDocument/2006/relationships/hyperlink" Target="https://www.toronto.ca/zoning/bylaw_amendments/ZBL_NewProvision_Chapter10_10.htm" TargetMode="External" Id="rId5" /><Relationship Type="http://schemas.openxmlformats.org/officeDocument/2006/relationships/hyperlink" Target="https://www.toronto.ca/zoning/bylaw_amendments/ZBL_NewProvision_Chapter900_2.htm" TargetMode="External" Id="rId6" /><Relationship Type="http://schemas.openxmlformats.org/officeDocument/2006/relationships/hyperlink" Target="https://www.toronto.ca/city-government/planning-development/committee-of-adjustment/more-information-about-application/" TargetMode="External" Id="rId7" /><Relationship Type="http://schemas.openxmlformats.org/officeDocument/2006/relationships/hyperlink" Target="https://www.toronto.ca/city-government/planning-development/committee-of-adjustment/more-information-about-application/" TargetMode="External" Id="rId8" /><Relationship Type="http://schemas.openxmlformats.org/officeDocument/2006/relationships/hyperlink" Target="https://www.toronto.ca/city-government/planning-development/committee-of-adjustment/more-information-about-application/" TargetMode="External" Id="rId9" /><Relationship Type="http://schemas.openxmlformats.org/officeDocument/2006/relationships/hyperlink" Target="https://www.toronto.ca/city-government/planning-development/committee-of-adjustment/more-information-about-application/" TargetMode="External" Id="rId10" /><Relationship Type="http://schemas.openxmlformats.org/officeDocument/2006/relationships/hyperlink" Target="https://www.toronto.ca/services-payments/building-construction/building-permit/before-you-apply-for-a-building-permit/preliminary-zoning-reviews-information/request-building-records/" TargetMode="External" Id="rId11" /><Relationship Type="http://schemas.openxmlformats.org/officeDocument/2006/relationships/hyperlink" Target="https://www.toronto.ca/services-payments/building-construction/building-permit/before-you-apply-for-a-building-permit/preliminary-zoning-reviews-information/request-building-records/" TargetMode="External" Id="rId12" /><Relationship Type="http://schemas.openxmlformats.org/officeDocument/2006/relationships/hyperlink" Target="https://www.toronto.ca/services-payments/building-construction/building-permit/before-you-apply-for-a-building-permit/preliminary-zoning-reviews-information/request-building-records/" TargetMode="External" Id="rId13" /><Relationship Type="http://schemas.openxmlformats.org/officeDocument/2006/relationships/hyperlink" Target="https://www.toronto.ca/services-payments/building-construction/building-permit/before-you-apply-for-a-building-permit/preliminary-zoning-reviews-information/request-building-records/" TargetMode="External" Id="rId14" /><Relationship Type="http://schemas.openxmlformats.org/officeDocument/2006/relationships/hyperlink" Target="https://www.toronto.ca/services-payments/building-construction/building-permit/before-you-apply-for-a-building-permit/preliminary-zoning-reviews-information/request-building-records/" TargetMode="External" Id="rId15" /><Relationship Type="http://schemas.openxmlformats.org/officeDocument/2006/relationships/hyperlink" Target="https://secure.toronto.ca/ApplicationStatus/setup.do?action=init" TargetMode="External" Id="rId16" /><Relationship Type="http://schemas.openxmlformats.org/officeDocument/2006/relationships/hyperlink" Target="https://secure.toronto.ca/ApplicationStatus/setup.do?action=init" TargetMode="External" Id="rId17" /><Relationship Type="http://schemas.openxmlformats.org/officeDocument/2006/relationships/hyperlink" Target="https://www.toronto.ca/services-payments/building-construction/building-permit/before-you-apply-for-a-building-permit/preliminary-zoning-reviews-information/request-building-records/" TargetMode="External" Id="rId18" /><Relationship Type="http://schemas.openxmlformats.org/officeDocument/2006/relationships/hyperlink" Target="https://secure.toronto.ca/ApplicationStatus/setup.do?action=init" TargetMode="External" Id="rId19" /><Relationship Type="http://schemas.openxmlformats.org/officeDocument/2006/relationships/hyperlink" Target="https://www.toronto.ca/city-government/planning-development/committee-of-adjustment/more-information-about-application/" TargetMode="External" Id="rId20" /><Relationship Type="http://schemas.openxmlformats.org/officeDocument/2006/relationships/hyperlink" Target="https://www.toronto.ca/city-government/planning-development/application-details/?id=5887980&amp;pid=173426&amp;title=1423-DUFFERIN-ST" TargetMode="External" Id="rId21" /><Relationship Type="http://schemas.openxmlformats.org/officeDocument/2006/relationships/hyperlink" Target="https://www.toronto.ca/city-government/planning-development/application-details/?id=5725239&amp;pid=173426&amp;title=1423-DUFFERIN-ST" TargetMode="External" Id="rId22"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hyperlink" Target="https://www.toronto.ca/city-government/planning-development/committee-of-adjustment/more-information-about-application/" TargetMode="External" Id="rId1" /><Relationship Type="http://schemas.openxmlformats.org/officeDocument/2006/relationships/hyperlink" Target="https://www.google.com/maps/search/?api=1&amp;query=43.6948515664947,-79.4181095433461" TargetMode="External" Id="rId2" /><Relationship Type="http://schemas.openxmlformats.org/officeDocument/2006/relationships/hyperlink" Target="https://ckan0.cf.opendata.inter.prod-toronto.ca/api/3/action/datastore_search?resource_id=9c97254e-5460-4799-896f-c7823413c81c&amp;filters=%7B%22REFERENCE_FILE%23%22%3A%22A0385%2F18TEY%22%7D" TargetMode="External" Id="rId3" /><Relationship Type="http://schemas.openxmlformats.org/officeDocument/2006/relationships/hyperlink" Target="https://www.toronto.ca/city-government/planning-development/committee-of-adjustment/more-information-about-application/" TargetMode="External" Id="rId4" /><Relationship Type="http://schemas.openxmlformats.org/officeDocument/2006/relationships/hyperlink" Target="https://www.google.com/maps/search/?api=1&amp;query=43.69438249114,-79.4186135640854" TargetMode="External" Id="rId5" /><Relationship Type="http://schemas.openxmlformats.org/officeDocument/2006/relationships/hyperlink" Target="https://ckan0.cf.opendata.inter.prod-toronto.ca/api/3/action/datastore_search?resource_id=9c97254e-5460-4799-896f-c7823413c81c&amp;filters=%7B%22REFERENCE_FILE%23%22%3A%22A1347%2F19TEY%22%7D" TargetMode="External" Id="rId6" /><Relationship Type="http://schemas.openxmlformats.org/officeDocument/2006/relationships/hyperlink" Target="https://www.toronto.ca/city-government/planning-development/committee-of-adjustment/more-information-about-application/" TargetMode="External" Id="rId7" /><Relationship Type="http://schemas.openxmlformats.org/officeDocument/2006/relationships/hyperlink" Target="https://www.google.com/maps/search/?api=1&amp;query=43.6949601510104,-79.4176486716212" TargetMode="External" Id="rId8" /><Relationship Type="http://schemas.openxmlformats.org/officeDocument/2006/relationships/hyperlink" Target="https://ckan0.cf.opendata.inter.prod-toronto.ca/api/3/action/datastore_search?resource_id=9c97254e-5460-4799-896f-c7823413c81c&amp;filters=%7B%22REFERENCE_FILE%23%22%3A%22A0276%2F24TEY%22%7D" TargetMode="External" Id="rId9" /><Relationship Type="http://schemas.openxmlformats.org/officeDocument/2006/relationships/hyperlink" Target="https://www.toronto.ca/city-government/planning-development/committee-of-adjustment/more-information-about-application/" TargetMode="External" Id="rId10" /><Relationship Type="http://schemas.openxmlformats.org/officeDocument/2006/relationships/hyperlink" Target="https://www.google.com/maps/search/?api=1&amp;query=43.6953621888828,-79.4189898844367" TargetMode="External" Id="rId11" /><Relationship Type="http://schemas.openxmlformats.org/officeDocument/2006/relationships/hyperlink" Target="https://ckan0.cf.opendata.inter.prod-toronto.ca/api/3/action/datastore_search?resource_id=9c97254e-5460-4799-896f-c7823413c81c&amp;filters=%7B%22REFERENCE_FILE%23%22%3A%22A0286%2F17TEY%22%7D" TargetMode="External" Id="rId12" /><Relationship Type="http://schemas.openxmlformats.org/officeDocument/2006/relationships/hyperlink" Target="https://www.toronto.ca/city-government/planning-development/committee-of-adjustment/more-information-about-application/" TargetMode="External" Id="rId13" /><Relationship Type="http://schemas.openxmlformats.org/officeDocument/2006/relationships/hyperlink" Target="https://www.google.com/maps/search/?api=1&amp;query=43.695122983445,-79.4194794276973" TargetMode="External" Id="rId14" /><Relationship Type="http://schemas.openxmlformats.org/officeDocument/2006/relationships/hyperlink" Target="https://ckan0.cf.opendata.inter.prod-toronto.ca/api/3/action/datastore_search?resource_id=9c97254e-5460-4799-896f-c7823413c81c&amp;filters=%7B%22REFERENCE_FILE%23%22%3A%22A1119%2F21TEY%22%7D" TargetMode="External" Id="rId15" /><Relationship Type="http://schemas.openxmlformats.org/officeDocument/2006/relationships/hyperlink" Target="https://www.toronto.ca/city-government/planning-development/committee-of-adjustment/more-information-about-application/" TargetMode="External" Id="rId16" /><Relationship Type="http://schemas.openxmlformats.org/officeDocument/2006/relationships/hyperlink" Target="https://www.google.com/maps/search/?api=1&amp;query=43.6952394806831,-79.4195725385228" TargetMode="External" Id="rId17" /><Relationship Type="http://schemas.openxmlformats.org/officeDocument/2006/relationships/hyperlink" Target="https://ckan0.cf.opendata.inter.prod-toronto.ca/api/3/action/datastore_search?resource_id=9c97254e-5460-4799-896f-c7823413c81c&amp;filters=%7B%22REFERENCE_FILE%23%22%3A%22A0670%2F23TEY%22%7D" TargetMode="External" Id="rId18" /><Relationship Type="http://schemas.openxmlformats.org/officeDocument/2006/relationships/hyperlink" Target="https://www.toronto.ca/city-government/planning-development/committee-of-adjustment/more-information-about-application/" TargetMode="External" Id="rId19" /><Relationship Type="http://schemas.openxmlformats.org/officeDocument/2006/relationships/hyperlink" Target="https://www.google.com/maps/search/?api=1&amp;query=43.6958266355422,-79.4185565659511" TargetMode="External" Id="rId20" /><Relationship Type="http://schemas.openxmlformats.org/officeDocument/2006/relationships/hyperlink" Target="https://ckan0.cf.opendata.inter.prod-toronto.ca/api/3/action/datastore_search?resource_id=9c97254e-5460-4799-896f-c7823413c81c&amp;filters=%7B%22REFERENCE_FILE%23%22%3A%22A0026%2F22TEY%22%7D" TargetMode="External" Id="rId21" /><Relationship Type="http://schemas.openxmlformats.org/officeDocument/2006/relationships/hyperlink" Target="https://www.toronto.ca/city-government/planning-development/committee-of-adjustment/more-information-about-application/" TargetMode="External" Id="rId22" /><Relationship Type="http://schemas.openxmlformats.org/officeDocument/2006/relationships/hyperlink" Target="https://www.google.com/maps/search/?api=1&amp;query=43.6958266355422,-79.4185565659511" TargetMode="External" Id="rId23" /><Relationship Type="http://schemas.openxmlformats.org/officeDocument/2006/relationships/hyperlink" Target="https://ckan0.cf.opendata.inter.prod-toronto.ca/api/3/action/datastore_search?resource_id=9c97254e-5460-4799-896f-c7823413c81c&amp;filters=%7B%22REFERENCE_FILE%23%22%3A%22A0787%2F17TEY%22%7D" TargetMode="External" Id="rId24" /><Relationship Type="http://schemas.openxmlformats.org/officeDocument/2006/relationships/hyperlink" Target="https://www.toronto.ca/city-government/planning-development/committee-of-adjustment/more-information-about-application/" TargetMode="External" Id="rId25" /><Relationship Type="http://schemas.openxmlformats.org/officeDocument/2006/relationships/hyperlink" Target="https://www.google.com/maps/search/?api=1&amp;query=43.6954533345372,-79.4196382517256" TargetMode="External" Id="rId26" /><Relationship Type="http://schemas.openxmlformats.org/officeDocument/2006/relationships/hyperlink" Target="https://ckan0.cf.opendata.inter.prod-toronto.ca/api/3/action/datastore_search?resource_id=9c97254e-5460-4799-896f-c7823413c81c&amp;filters=%7B%22REFERENCE_FILE%23%22%3A%22A1123%2F18TEY%22%7D" TargetMode="External" Id="rId27" /><Relationship Type="http://schemas.openxmlformats.org/officeDocument/2006/relationships/hyperlink" Target="https://www.toronto.ca/city-government/planning-development/committee-of-adjustment/more-information-about-application/" TargetMode="External" Id="rId28" /><Relationship Type="http://schemas.openxmlformats.org/officeDocument/2006/relationships/hyperlink" Target="https://www.google.com/maps/search/?api=1&amp;query=43.6951615893584,-79.4168260422443" TargetMode="External" Id="rId29" /><Relationship Type="http://schemas.openxmlformats.org/officeDocument/2006/relationships/hyperlink" Target="https://ckan0.cf.opendata.inter.prod-toronto.ca/api/3/action/datastore_search?resource_id=9c97254e-5460-4799-896f-c7823413c81c&amp;filters=%7B%22REFERENCE_FILE%23%22%3A%22A1011%2F16TEY%22%7D" TargetMode="External" Id="rId30" /><Relationship Type="http://schemas.openxmlformats.org/officeDocument/2006/relationships/hyperlink" Target="https://www.toronto.ca/city-government/planning-development/committee-of-adjustment/more-information-about-application/" TargetMode="External" Id="rId31" /><Relationship Type="http://schemas.openxmlformats.org/officeDocument/2006/relationships/hyperlink" Target="https://www.google.com/maps/search/?api=1&amp;query=43.6944150235063,-79.4199030467229" TargetMode="External" Id="rId32" /><Relationship Type="http://schemas.openxmlformats.org/officeDocument/2006/relationships/hyperlink" Target="https://ckan0.cf.opendata.inter.prod-toronto.ca/api/3/action/datastore_search?resource_id=9c97254e-5460-4799-896f-c7823413c81c&amp;filters=%7B%22REFERENCE_FILE%23%22%3A%22A1279%2F19TEY%22%7D" TargetMode="External" Id="rId33" /><Relationship Type="http://schemas.openxmlformats.org/officeDocument/2006/relationships/hyperlink" Target="https://www.toronto.ca/city-government/planning-development/committee-of-adjustment/more-information-about-application/" TargetMode="External" Id="rId34" /><Relationship Type="http://schemas.openxmlformats.org/officeDocument/2006/relationships/hyperlink" Target="https://www.google.com/maps/search/?api=1&amp;query=43.6939789712825,-79.4171835540749" TargetMode="External" Id="rId35" /><Relationship Type="http://schemas.openxmlformats.org/officeDocument/2006/relationships/hyperlink" Target="https://ckan0.cf.opendata.inter.prod-toronto.ca/api/3/action/datastore_search?resource_id=9c97254e-5460-4799-896f-c7823413c81c&amp;filters=%7B%22REFERENCE_FILE%23%22%3A%22A0251%2F20TEY%22%7D" TargetMode="External" Id="rId36" /><Relationship Type="http://schemas.openxmlformats.org/officeDocument/2006/relationships/hyperlink" Target="https://www.toronto.ca/city-government/planning-development/committee-of-adjustment/more-information-about-application/" TargetMode="External" Id="rId37" /><Relationship Type="http://schemas.openxmlformats.org/officeDocument/2006/relationships/hyperlink" Target="https://www.google.com/maps/search/?api=1&amp;query=43.694790050578,-79.4200534628368" TargetMode="External" Id="rId38" /><Relationship Type="http://schemas.openxmlformats.org/officeDocument/2006/relationships/hyperlink" Target="https://ckan0.cf.opendata.inter.prod-toronto.ca/api/3/action/datastore_search?resource_id=9c97254e-5460-4799-896f-c7823413c81c&amp;filters=%7B%22REFERENCE_FILE%23%22%3A%22A1233%2F21TEY%22%7D" TargetMode="External" Id="rId39" /><Relationship Type="http://schemas.openxmlformats.org/officeDocument/2006/relationships/hyperlink" Target="https://www.toronto.ca/city-government/planning-development/committee-of-adjustment/more-information-about-application/" TargetMode="External" Id="rId40" /><Relationship Type="http://schemas.openxmlformats.org/officeDocument/2006/relationships/hyperlink" Target="https://www.google.com/maps/search/?api=1&amp;query=43.6958428919814,-79.4172532657825" TargetMode="External" Id="rId41" /><Relationship Type="http://schemas.openxmlformats.org/officeDocument/2006/relationships/hyperlink" Target="https://ckan0.cf.opendata.inter.prod-toronto.ca/api/3/action/datastore_search?resource_id=9c97254e-5460-4799-896f-c7823413c81c&amp;filters=%7B%22REFERENCE_FILE%23%22%3A%22A0410%2F24TEY%22%7D" TargetMode="External" Id="rId42" /><Relationship Type="http://schemas.openxmlformats.org/officeDocument/2006/relationships/hyperlink" Target="https://www.toronto.ca/city-government/planning-development/committee-of-adjustment/more-information-about-application/" TargetMode="External" Id="rId43" /><Relationship Type="http://schemas.openxmlformats.org/officeDocument/2006/relationships/hyperlink" Target="https://www.google.com/maps/search/?api=1&amp;query=43.6958428919814,-79.4172532657825" TargetMode="External" Id="rId44" /><Relationship Type="http://schemas.openxmlformats.org/officeDocument/2006/relationships/hyperlink" Target="https://ckan0.cf.opendata.inter.prod-toronto.ca/api/3/action/datastore_search?resource_id=9c97254e-5460-4799-896f-c7823413c81c&amp;filters=%7B%22REFERENCE_FILE%23%22%3A%22A0662%2F24TEY%22%7D" TargetMode="External" Id="rId45" /><Relationship Type="http://schemas.openxmlformats.org/officeDocument/2006/relationships/hyperlink" Target="https://www.toronto.ca/city-government/planning-development/committee-of-adjustment/more-information-about-application/" TargetMode="External" Id="rId46" /><Relationship Type="http://schemas.openxmlformats.org/officeDocument/2006/relationships/hyperlink" Target="https://www.google.com/maps/search/?api=1&amp;query=43.6950865420799,-79.4201793967537" TargetMode="External" Id="rId47" /><Relationship Type="http://schemas.openxmlformats.org/officeDocument/2006/relationships/hyperlink" Target="https://ckan0.cf.opendata.inter.prod-toronto.ca/api/3/action/datastore_search?resource_id=9c97254e-5460-4799-896f-c7823413c81c&amp;filters=%7B%22REFERENCE_FILE%23%22%3A%22A0012%2F24TEY%22%7D" TargetMode="External" Id="rId48" /><Relationship Type="http://schemas.openxmlformats.org/officeDocument/2006/relationships/hyperlink" Target="https://www.toronto.ca/city-government/planning-development/committee-of-adjustment/more-information-about-application/" TargetMode="External" Id="rId49" /><Relationship Type="http://schemas.openxmlformats.org/officeDocument/2006/relationships/hyperlink" Target="https://www.google.com/maps/search/?api=1&amp;query=43.6961072767361,-79.4177131015232" TargetMode="External" Id="rId50" /><Relationship Type="http://schemas.openxmlformats.org/officeDocument/2006/relationships/hyperlink" Target="https://ckan0.cf.opendata.inter.prod-toronto.ca/api/3/action/datastore_search?resource_id=9c97254e-5460-4799-896f-c7823413c81c&amp;filters=%7B%22REFERENCE_FILE%23%22%3A%22A0382%2F24TEY%22%7D" TargetMode="External" Id="rId51" /><Relationship Type="http://schemas.openxmlformats.org/officeDocument/2006/relationships/hyperlink" Target="https://www.toronto.ca/city-government/planning-development/committee-of-adjustment/more-information-about-application/" TargetMode="External" Id="rId52" /><Relationship Type="http://schemas.openxmlformats.org/officeDocument/2006/relationships/hyperlink" Target="https://www.google.com/maps/search/?api=1&amp;query=43.6955497084039,-79.4166303121547" TargetMode="External" Id="rId53" /><Relationship Type="http://schemas.openxmlformats.org/officeDocument/2006/relationships/hyperlink" Target="https://ckan0.cf.opendata.inter.prod-toronto.ca/api/3/action/datastore_search?resource_id=9c97254e-5460-4799-896f-c7823413c81c&amp;filters=%7B%22REFERENCE_FILE%23%22%3A%22A0686%2F18TEY%22%7D" TargetMode="External" Id="rId54" /><Relationship Type="http://schemas.openxmlformats.org/officeDocument/2006/relationships/hyperlink" Target="https://www.toronto.ca/city-government/planning-development/committee-of-adjustment/more-information-about-application/" TargetMode="External" Id="rId55" /><Relationship Type="http://schemas.openxmlformats.org/officeDocument/2006/relationships/hyperlink" Target="https://www.google.com/maps/search/?api=1&amp;query=43.6933525373004,-79.4187668362327" TargetMode="External" Id="rId56" /><Relationship Type="http://schemas.openxmlformats.org/officeDocument/2006/relationships/hyperlink" Target="https://ckan0.cf.opendata.inter.prod-toronto.ca/api/3/action/datastore_search?resource_id=9c97254e-5460-4799-896f-c7823413c81c&amp;filters=%7B%22REFERENCE_FILE%23%22%3A%22A0270%2F22TEY%22%7D" TargetMode="External" Id="rId57" /><Relationship Type="http://schemas.openxmlformats.org/officeDocument/2006/relationships/hyperlink" Target="https://www.toronto.ca/city-government/planning-development/committee-of-adjustment/more-information-about-application/" TargetMode="External" Id="rId58" /><Relationship Type="http://schemas.openxmlformats.org/officeDocument/2006/relationships/hyperlink" Target="https://www.google.com/maps/search/?api=1&amp;query=43.6933211314761,-79.4181606767804" TargetMode="External" Id="rId59" /><Relationship Type="http://schemas.openxmlformats.org/officeDocument/2006/relationships/hyperlink" Target="https://ckan0.cf.opendata.inter.prod-toronto.ca/api/3/action/datastore_search?resource_id=9c97254e-5460-4799-896f-c7823413c81c&amp;filters=%7B%22REFERENCE_FILE%23%22%3A%22A1001%2F16TEY%22%7D" TargetMode="External" Id="rId60" /><Relationship Type="http://schemas.openxmlformats.org/officeDocument/2006/relationships/hyperlink" Target="https://www.toronto.ca/city-government/planning-development/committee-of-adjustment/more-information-about-application/" TargetMode="External" Id="rId61" /><Relationship Type="http://schemas.openxmlformats.org/officeDocument/2006/relationships/hyperlink" Target="https://www.google.com/maps/search/?api=1&amp;query=43.6948185347342,-79.4162746984547" TargetMode="External" Id="rId62" /><Relationship Type="http://schemas.openxmlformats.org/officeDocument/2006/relationships/hyperlink" Target="https://ckan0.cf.opendata.inter.prod-toronto.ca/api/3/action/datastore_search?resource_id=9c97254e-5460-4799-896f-c7823413c81c&amp;filters=%7B%22REFERENCE_FILE%23%22%3A%22A0782%2F20TEY%22%7D" TargetMode="External" Id="rId63" /><Relationship Type="http://schemas.openxmlformats.org/officeDocument/2006/relationships/hyperlink" Target="https://www.toronto.ca/city-government/planning-development/committee-of-adjustment/more-information-about-application/" TargetMode="External" Id="rId64" /><Relationship Type="http://schemas.openxmlformats.org/officeDocument/2006/relationships/hyperlink" Target="https://www.google.com/maps/search/?api=1&amp;query=43.693229690901,-79.4187207548219" TargetMode="External" Id="rId65" /><Relationship Type="http://schemas.openxmlformats.org/officeDocument/2006/relationships/hyperlink" Target="https://ckan0.cf.opendata.inter.prod-toronto.ca/api/3/action/datastore_search?resource_id=9c97254e-5460-4799-896f-c7823413c81c&amp;filters=%7B%22REFERENCE_FILE%23%22%3A%22A0074%2F21TEY%22%7D" TargetMode="External" Id="rId66" /><Relationship Type="http://schemas.openxmlformats.org/officeDocument/2006/relationships/hyperlink" Target="https://www.toronto.ca/city-government/planning-development/committee-of-adjustment/more-information-about-application/" TargetMode="External" Id="rId67" /><Relationship Type="http://schemas.openxmlformats.org/officeDocument/2006/relationships/hyperlink" Target="https://www.google.com/maps/search/?api=1&amp;query=43.6942970200201,-79.4204881646766" TargetMode="External" Id="rId68" /><Relationship Type="http://schemas.openxmlformats.org/officeDocument/2006/relationships/hyperlink" Target="https://ckan0.cf.opendata.inter.prod-toronto.ca/api/3/action/datastore_search?resource_id=9c97254e-5460-4799-896f-c7823413c81c&amp;filters=%7B%22REFERENCE_FILE%23%22%3A%22A1151%2F20TEY%22%7D" TargetMode="External" Id="rId69" /><Relationship Type="http://schemas.openxmlformats.org/officeDocument/2006/relationships/hyperlink" Target="https://www.toronto.ca/city-government/planning-development/committee-of-adjustment/more-information-about-application/" TargetMode="External" Id="rId70" /><Relationship Type="http://schemas.openxmlformats.org/officeDocument/2006/relationships/hyperlink" Target="https://www.google.com/maps/search/?api=1&amp;query=43.6945588154945,-79.4161328166541" TargetMode="External" Id="rId71" /><Relationship Type="http://schemas.openxmlformats.org/officeDocument/2006/relationships/hyperlink" Target="https://ckan0.cf.opendata.inter.prod-toronto.ca/api/3/action/datastore_search?resource_id=9c97254e-5460-4799-896f-c7823413c81c&amp;filters=%7B%22REFERENCE_FILE%23%22%3A%22A1016%2F17TEY%22%7D" TargetMode="External" Id="rId72" /><Relationship Type="http://schemas.openxmlformats.org/officeDocument/2006/relationships/hyperlink" Target="https://www.toronto.ca/city-government/planning-development/committee-of-adjustment/more-information-about-application/" TargetMode="External" Id="rId73" /><Relationship Type="http://schemas.openxmlformats.org/officeDocument/2006/relationships/hyperlink" Target="https://www.google.com/maps/search/?api=1&amp;query=43.6946307421418,-79.4206425215862" TargetMode="External" Id="rId74" /><Relationship Type="http://schemas.openxmlformats.org/officeDocument/2006/relationships/hyperlink" Target="https://ckan0.cf.opendata.inter.prod-toronto.ca/api/3/action/datastore_search?resource_id=9c97254e-5460-4799-896f-c7823413c81c&amp;filters=%7B%22REFERENCE_FILE%23%22%3A%22A0598%2F22TEY%22%7D" TargetMode="External" Id="rId75" /><Relationship Type="http://schemas.openxmlformats.org/officeDocument/2006/relationships/hyperlink" Target="https://www.toronto.ca/city-government/planning-development/committee-of-adjustment/more-information-about-application/" TargetMode="External" Id="rId76" /><Relationship Type="http://schemas.openxmlformats.org/officeDocument/2006/relationships/hyperlink" Target="https://www.google.com/maps/search/?api=1&amp;query=43.6964752640255,-79.4180592479264" TargetMode="External" Id="rId77" /><Relationship Type="http://schemas.openxmlformats.org/officeDocument/2006/relationships/hyperlink" Target="https://ckan0.cf.opendata.inter.prod-toronto.ca/api/3/action/datastore_search?resource_id=9c97254e-5460-4799-896f-c7823413c81c&amp;filters=%7B%22REFERENCE_FILE%23%22%3A%22A0998%2F17TEY%22%7D" TargetMode="External" Id="rId78" /><Relationship Type="http://schemas.openxmlformats.org/officeDocument/2006/relationships/hyperlink" Target="https://www.toronto.ca/city-government/planning-development/application-details/?id=5888249&amp;pid=290129&amp;title=210-ROSEMARY-RD" TargetMode="External" Id="rId79" /><Relationship Type="http://schemas.openxmlformats.org/officeDocument/2006/relationships/hyperlink" Target="https://www.google.com/maps/search/?api=1&amp;query=43.6948278470101,-79.4207385299107" TargetMode="External" Id="rId80" /><Relationship Type="http://schemas.openxmlformats.org/officeDocument/2006/relationships/hyperlink" Target="https://ckan0.cf.opendata.inter.prod-toronto.ca/api/3/action/datastore_search?resource_id=51fd09cd-99d6-430a-9d42-c24a937b0cb0&amp;filters=%7B%22REFERENCE_FILE%23%22%3A%22A0568%2F26TEY%22%7D" TargetMode="External" Id="rId81" /><Relationship Type="http://schemas.openxmlformats.org/officeDocument/2006/relationships/hyperlink" Target="https://www.toronto.ca/city-government/planning-development/application-details/?id=5863523&amp;pid=290015&amp;title=300-GLENAYR-RD" TargetMode="External" Id="rId82" /><Relationship Type="http://schemas.openxmlformats.org/officeDocument/2006/relationships/hyperlink" Target="https://www.google.com/maps/search/?api=1&amp;query=43.6961188427419,-79.4199559730485" TargetMode="External" Id="rId83" /><Relationship Type="http://schemas.openxmlformats.org/officeDocument/2006/relationships/hyperlink" Target="https://ckan0.cf.opendata.inter.prod-toronto.ca/api/3/action/datastore_search?resource_id=51fd09cd-99d6-430a-9d42-c24a937b0cb0&amp;filters=%7B%22REFERENCE_FILE%23%22%3A%22A0473%2F26TEY%22%7D" TargetMode="External" Id="rId84" /><Relationship Type="http://schemas.openxmlformats.org/officeDocument/2006/relationships/hyperlink" Target="https://www.toronto.ca/city-government/planning-development/committee-of-adjustment/more-information-about-application/" TargetMode="External" Id="rId85" /><Relationship Type="http://schemas.openxmlformats.org/officeDocument/2006/relationships/hyperlink" Target="https://www.google.com/maps/search/?api=1&amp;query=43.6949280907922,-79.4207982803013" TargetMode="External" Id="rId86" /><Relationship Type="http://schemas.openxmlformats.org/officeDocument/2006/relationships/hyperlink" Target="https://ckan0.cf.opendata.inter.prod-toronto.ca/api/3/action/datastore_search?resource_id=9c97254e-5460-4799-896f-c7823413c81c&amp;filters=%7B%22REFERENCE_FILE%23%22%3A%22A0044%2F26TEY%22%7D" TargetMode="External" Id="rId87" /><Relationship Type="http://schemas.openxmlformats.org/officeDocument/2006/relationships/hyperlink" Target="https://www.toronto.ca/city-government/planning-development/committee-of-adjustment/more-information-about-application/" TargetMode="External" Id="rId88" /><Relationship Type="http://schemas.openxmlformats.org/officeDocument/2006/relationships/hyperlink" Target="https://www.google.com/maps/search/?api=1&amp;query=43.6953217524346,-79.4159320819789" TargetMode="External" Id="rId89" /><Relationship Type="http://schemas.openxmlformats.org/officeDocument/2006/relationships/hyperlink" Target="https://ckan0.cf.opendata.inter.prod-toronto.ca/api/3/action/datastore_search?resource_id=9c97254e-5460-4799-896f-c7823413c81c&amp;filters=%7B%22REFERENCE_FILE%23%22%3A%22A1221%2F18TEY%22%7D" TargetMode="External" Id="rId90" /><Relationship Type="http://schemas.openxmlformats.org/officeDocument/2006/relationships/hyperlink" Target="https://www.toronto.ca/city-government/planning-development/committee-of-adjustment/more-information-about-application/" TargetMode="External" Id="rId91" /><Relationship Type="http://schemas.openxmlformats.org/officeDocument/2006/relationships/hyperlink" Target="https://www.google.com/maps/search/?api=1&amp;query=43.693460195543,-79.420266543389" TargetMode="External" Id="rId92" /><Relationship Type="http://schemas.openxmlformats.org/officeDocument/2006/relationships/hyperlink" Target="https://ckan0.cf.opendata.inter.prod-toronto.ca/api/3/action/datastore_search?resource_id=9c97254e-5460-4799-896f-c7823413c81c&amp;filters=%7B%22REFERENCE_FILE%23%22%3A%22A0508%2F19TEY%22%7D" TargetMode="External" Id="rId93" /><Relationship Type="http://schemas.openxmlformats.org/officeDocument/2006/relationships/hyperlink" Target="https://www.toronto.ca/city-government/planning-development/committee-of-adjustment/more-information-about-application/" TargetMode="External" Id="rId94" /><Relationship Type="http://schemas.openxmlformats.org/officeDocument/2006/relationships/hyperlink" Target="https://www.google.com/maps/search/?api=1&amp;query=43.693293206151,-79.4165993853573" TargetMode="External" Id="rId95" /><Relationship Type="http://schemas.openxmlformats.org/officeDocument/2006/relationships/hyperlink" Target="https://ckan0.cf.opendata.inter.prod-toronto.ca/api/3/action/datastore_search?resource_id=9c97254e-5460-4799-896f-c7823413c81c&amp;filters=%7B%22REFERENCE_FILE%23%22%3A%22A0591%2F16TEY%22%7D" TargetMode="External" Id="rId96" /><Relationship Type="http://schemas.openxmlformats.org/officeDocument/2006/relationships/hyperlink" Target="https://www.toronto.ca/city-government/planning-development/committee-of-adjustment/more-information-about-application/" TargetMode="External" Id="rId97" /><Relationship Type="http://schemas.openxmlformats.org/officeDocument/2006/relationships/hyperlink" Target="https://www.google.com/maps/search/?api=1&amp;query=43.693293206151,-79.4165993853573" TargetMode="External" Id="rId98" /><Relationship Type="http://schemas.openxmlformats.org/officeDocument/2006/relationships/hyperlink" Target="https://ckan0.cf.opendata.inter.prod-toronto.ca/api/3/action/datastore_search?resource_id=9c97254e-5460-4799-896f-c7823413c81c&amp;filters=%7B%22REFERENCE_FILE%23%22%3A%22A0793%2F18TEY%22%7D" TargetMode="External" Id="rId99" /><Relationship Type="http://schemas.openxmlformats.org/officeDocument/2006/relationships/hyperlink" Target="https://www.toronto.ca/city-government/planning-development/committee-of-adjustment/more-information-about-application/" TargetMode="External" Id="rId100" /><Relationship Type="http://schemas.openxmlformats.org/officeDocument/2006/relationships/hyperlink" Target="https://www.google.com/maps/search/?api=1&amp;query=43.6957118497998,-79.4158824345203" TargetMode="External" Id="rId101" /><Relationship Type="http://schemas.openxmlformats.org/officeDocument/2006/relationships/hyperlink" Target="https://ckan0.cf.opendata.inter.prod-toronto.ca/api/3/action/datastore_search?resource_id=9c97254e-5460-4799-896f-c7823413c81c&amp;filters=%7B%22REFERENCE_FILE%23%22%3A%22A0198%2F24TEY%22%7D" TargetMode="External" Id="rId102" /><Relationship Type="http://schemas.openxmlformats.org/officeDocument/2006/relationships/hyperlink" Target="https://www.toronto.ca/city-government/planning-development/committee-of-adjustment/more-information-about-application/" TargetMode="External" Id="rId103" /><Relationship Type="http://schemas.openxmlformats.org/officeDocument/2006/relationships/hyperlink" Target="https://www.google.com/maps/search/?api=1&amp;query=43.6968268367367,-79.417959433431" TargetMode="External" Id="rId104" /><Relationship Type="http://schemas.openxmlformats.org/officeDocument/2006/relationships/hyperlink" Target="https://ckan0.cf.opendata.inter.prod-toronto.ca/api/3/action/datastore_search?resource_id=9c97254e-5460-4799-896f-c7823413c81c&amp;filters=%7B%22REFERENCE_FILE%23%22%3A%22A0030%2F20TEY%22%7D" TargetMode="External" Id="rId105" /><Relationship Type="http://schemas.openxmlformats.org/officeDocument/2006/relationships/hyperlink" Target="https://www.toronto.ca/city-government/planning-development/application-details/?id=5817824&amp;pid=290195&amp;title=2-SILVERWOOD-AVE" TargetMode="External" Id="rId106" /><Relationship Type="http://schemas.openxmlformats.org/officeDocument/2006/relationships/hyperlink" Target="https://www.google.com/maps/search/?api=1&amp;query=43.6961340119578,-79.4160439284095" TargetMode="External" Id="rId107" /><Relationship Type="http://schemas.openxmlformats.org/officeDocument/2006/relationships/hyperlink" Target="https://ckan0.cf.opendata.inter.prod-toronto.ca/api/3/action/datastore_search?resource_id=9c97254e-5460-4799-896f-c7823413c81c&amp;filters=%7B%22REFERENCE_FILE%23%22%3A%22A0308%2F26TEY%22%7D" TargetMode="External" Id="rId108" /><Relationship Type="http://schemas.openxmlformats.org/officeDocument/2006/relationships/hyperlink" Target="https://www.toronto.ca/city-government/planning-development/committee-of-adjustment/more-information-about-application/" TargetMode="External" Id="rId109" /><Relationship Type="http://schemas.openxmlformats.org/officeDocument/2006/relationships/hyperlink" Target="https://www.google.com/maps/search/?api=1&amp;query=43.6961721062807,-79.4206703128996" TargetMode="External" Id="rId110" /><Relationship Type="http://schemas.openxmlformats.org/officeDocument/2006/relationships/hyperlink" Target="https://ckan0.cf.opendata.inter.prod-toronto.ca/api/3/action/datastore_search?resource_id=9c97254e-5460-4799-896f-c7823413c81c&amp;filters=%7B%22REFERENCE_FILE%23%22%3A%22A0769%2F19TEY%22%7D" TargetMode="External" Id="rId111" /><Relationship Type="http://schemas.openxmlformats.org/officeDocument/2006/relationships/hyperlink" Target="https://www.toronto.ca/city-government/planning-development/committee-of-adjustment/more-information-about-application/" TargetMode="External" Id="rId112" /><Relationship Type="http://schemas.openxmlformats.org/officeDocument/2006/relationships/hyperlink" Target="https://www.google.com/maps/search/?api=1&amp;query=43.694182974349,-79.4154469154989" TargetMode="External" Id="rId113" /><Relationship Type="http://schemas.openxmlformats.org/officeDocument/2006/relationships/hyperlink" Target="https://ckan0.cf.opendata.inter.prod-toronto.ca/api/3/action/datastore_search?resource_id=9c97254e-5460-4799-896f-c7823413c81c&amp;filters=%7B%22REFERENCE_FILE%23%22%3A%22A0766%2F23TEY%22%7D" TargetMode="External" Id="rId114" /><Relationship Type="http://schemas.openxmlformats.org/officeDocument/2006/relationships/hyperlink" Target="https://www.toronto.ca/city-government/planning-development/committee-of-adjustment/more-information-about-application/" TargetMode="External" Id="rId115" /><Relationship Type="http://schemas.openxmlformats.org/officeDocument/2006/relationships/hyperlink" Target="https://www.google.com/maps/search/?api=1&amp;query=43.694182974349,-79.4154469154989" TargetMode="External" Id="rId116" /><Relationship Type="http://schemas.openxmlformats.org/officeDocument/2006/relationships/hyperlink" Target="https://ckan0.cf.opendata.inter.prod-toronto.ca/api/3/action/datastore_search?resource_id=9c97254e-5460-4799-896f-c7823413c81c&amp;filters=%7B%22REFERENCE_FILE%23%22%3A%22A0879%2F20TEY%22%7D" TargetMode="External" Id="rId117" /><Relationship Type="http://schemas.openxmlformats.org/officeDocument/2006/relationships/hyperlink" Target="https://www.toronto.ca/city-government/planning-development/committee-of-adjustment/more-information-about-application/" TargetMode="External" Id="rId118" /><Relationship Type="http://schemas.openxmlformats.org/officeDocument/2006/relationships/hyperlink" Target="https://www.google.com/maps/search/?api=1&amp;query=43.694182974349,-79.4154469154989" TargetMode="External" Id="rId119" /><Relationship Type="http://schemas.openxmlformats.org/officeDocument/2006/relationships/hyperlink" Target="https://ckan0.cf.opendata.inter.prod-toronto.ca/api/3/action/datastore_search?resource_id=9c97254e-5460-4799-896f-c7823413c81c&amp;filters=%7B%22REFERENCE_FILE%23%22%3A%22B0050%2F23TEY%22%7D" TargetMode="External" Id="rId120" /><Relationship Type="http://schemas.openxmlformats.org/officeDocument/2006/relationships/hyperlink" Target="https://www.toronto.ca/city-government/planning-development/committee-of-adjustment/more-information-about-application/" TargetMode="External" Id="rId121" /><Relationship Type="http://schemas.openxmlformats.org/officeDocument/2006/relationships/hyperlink" Target="https://www.google.com/maps/search/?api=1&amp;query=43.694182974349,-79.4154469154989" TargetMode="External" Id="rId122" /><Relationship Type="http://schemas.openxmlformats.org/officeDocument/2006/relationships/hyperlink" Target="https://ckan0.cf.opendata.inter.prod-toronto.ca/api/3/action/datastore_search?resource_id=9c97254e-5460-4799-896f-c7823413c81c&amp;filters=%7B%22REFERENCE_FILE%23%22%3A%22B0062%2F20TEY%22%7D" TargetMode="External" Id="rId123" /><Relationship Type="http://schemas.openxmlformats.org/officeDocument/2006/relationships/hyperlink" Target="https://www.toronto.ca/city-government/planning-development/committee-of-adjustment/more-information-about-application/" TargetMode="External" Id="rId124" /><Relationship Type="http://schemas.openxmlformats.org/officeDocument/2006/relationships/hyperlink" Target="https://www.google.com/maps/search/?api=1&amp;query=43.6945736719257,-79.421408261118" TargetMode="External" Id="rId125" /><Relationship Type="http://schemas.openxmlformats.org/officeDocument/2006/relationships/hyperlink" Target="https://ckan0.cf.opendata.inter.prod-toronto.ca/api/3/action/datastore_search?resource_id=9c97254e-5460-4799-896f-c7823413c81c&amp;filters=%7B%22REFERENCE_FILE%23%22%3A%22A0436%2F18TEY%22%7D" TargetMode="External" Id="rId126" /><Relationship Type="http://schemas.openxmlformats.org/officeDocument/2006/relationships/hyperlink" Target="https://www.toronto.ca/city-government/planning-development/committee-of-adjustment/more-information-about-application/" TargetMode="External" Id="rId127" /><Relationship Type="http://schemas.openxmlformats.org/officeDocument/2006/relationships/hyperlink" Target="https://www.google.com/maps/search/?api=1&amp;query=43.6945736719257,-79.421408261118" TargetMode="External" Id="rId128" /><Relationship Type="http://schemas.openxmlformats.org/officeDocument/2006/relationships/hyperlink" Target="https://ckan0.cf.opendata.inter.prod-toronto.ca/api/3/action/datastore_search?resource_id=9c97254e-5460-4799-896f-c7823413c81c&amp;filters=%7B%22REFERENCE_FILE%23%22%3A%22A0570%2F19TEY%22%7D" TargetMode="External" Id="rId129" /><Relationship Type="http://schemas.openxmlformats.org/officeDocument/2006/relationships/hyperlink" Target="https://www.toronto.ca/city-government/planning-development/committee-of-adjustment/more-information-about-application/" TargetMode="External" Id="rId130" /><Relationship Type="http://schemas.openxmlformats.org/officeDocument/2006/relationships/hyperlink" Target="https://www.google.com/maps/search/?api=1&amp;query=43.6969666440155,-79.4190568886993" TargetMode="External" Id="rId131" /><Relationship Type="http://schemas.openxmlformats.org/officeDocument/2006/relationships/hyperlink" Target="https://ckan0.cf.opendata.inter.prod-toronto.ca/api/3/action/datastore_search?resource_id=9c97254e-5460-4799-896f-c7823413c81c&amp;filters=%7B%22REFERENCE_FILE%23%22%3A%22A0888%2F22TEY%22%7D" TargetMode="External" Id="rId132" /><Relationship Type="http://schemas.openxmlformats.org/officeDocument/2006/relationships/hyperlink" Target="https://www.toronto.ca/city-government/planning-development/committee-of-adjustment/more-information-about-application/" TargetMode="External" Id="rId133" /><Relationship Type="http://schemas.openxmlformats.org/officeDocument/2006/relationships/hyperlink" Target="https://www.google.com/maps/search/?api=1&amp;query=43.6945736719257,-79.421408261118" TargetMode="External" Id="rId134" /><Relationship Type="http://schemas.openxmlformats.org/officeDocument/2006/relationships/hyperlink" Target="https://ckan0.cf.opendata.inter.prod-toronto.ca/api/3/action/datastore_search?resource_id=9c97254e-5460-4799-896f-c7823413c81c&amp;filters=%7B%22REFERENCE_FILE%23%22%3A%22A1403%2F17TEY%22%7D" TargetMode="External" Id="rId135" /><Relationship Type="http://schemas.openxmlformats.org/officeDocument/2006/relationships/hyperlink" Target="https://www.toronto.ca/city-government/planning-development/committee-of-adjustment/more-information-about-application/" TargetMode="External" Id="rId136" /><Relationship Type="http://schemas.openxmlformats.org/officeDocument/2006/relationships/hyperlink" Target="https://www.google.com/maps/search/?api=1&amp;query=43.6713706787436,-79.4383856845961" TargetMode="External" Id="rId137" /><Relationship Type="http://schemas.openxmlformats.org/officeDocument/2006/relationships/hyperlink" Target="https://ckan0.cf.opendata.inter.prod-toronto.ca/api/3/action/datastore_search?resource_id=9c97254e-5460-4799-896f-c7823413c81c&amp;filters=%7B%22REFERENCE_FILE%23%22%3A%22A1084%2F22TEY%22%7D" TargetMode="External" Id="rId138" /><Relationship Type="http://schemas.openxmlformats.org/officeDocument/2006/relationships/hyperlink" Target="https://www.toronto.ca/city-government/planning-development/committee-of-adjustment/more-information-about-application/" TargetMode="External" Id="rId139" /><Relationship Type="http://schemas.openxmlformats.org/officeDocument/2006/relationships/hyperlink" Target="https://www.google.com/maps/search/?api=1&amp;query=43.6713437217402,-79.43840604959" TargetMode="External" Id="rId140" /><Relationship Type="http://schemas.openxmlformats.org/officeDocument/2006/relationships/hyperlink" Target="https://ckan0.cf.opendata.inter.prod-toronto.ca/api/3/action/datastore_search?resource_id=9c97254e-5460-4799-896f-c7823413c81c&amp;filters=%7B%22REFERENCE_FILE%23%22%3A%22A1079%2F22TEY%22%7D" TargetMode="External" Id="rId141" /><Relationship Type="http://schemas.openxmlformats.org/officeDocument/2006/relationships/hyperlink" Target="https://www.toronto.ca/city-government/planning-development/committee-of-adjustment/more-information-about-application/" TargetMode="External" Id="rId142" /><Relationship Type="http://schemas.openxmlformats.org/officeDocument/2006/relationships/hyperlink" Target="https://www.google.com/maps/search/?api=1&amp;query=43.6712487274656,-79.438366600446" TargetMode="External" Id="rId143" /><Relationship Type="http://schemas.openxmlformats.org/officeDocument/2006/relationships/hyperlink" Target="https://ckan0.cf.opendata.inter.prod-toronto.ca/api/3/action/datastore_search?resource_id=9c97254e-5460-4799-896f-c7823413c81c&amp;filters=%7B%22REFERENCE_FILE%23%22%3A%22A0120%2F17EYK%22%7D" TargetMode="External" Id="rId144" /><Relationship Type="http://schemas.openxmlformats.org/officeDocument/2006/relationships/hyperlink" Target="https://www.toronto.ca/city-government/planning-development/application-details/?id=5322205&amp;pid=173481&amp;title=50-BRISTOL-AVE" TargetMode="External" Id="rId145" /><Relationship Type="http://schemas.openxmlformats.org/officeDocument/2006/relationships/hyperlink" Target="https://www.google.com/maps/search/?api=1&amp;query=43.6709962113145,-79.4387650606885" TargetMode="External" Id="rId146" /><Relationship Type="http://schemas.openxmlformats.org/officeDocument/2006/relationships/hyperlink" Target="https://ckan0.cf.opendata.inter.prod-toronto.ca/api/3/action/datastore_search?resource_id=51fd09cd-99d6-430a-9d42-c24a937b0cb0&amp;filters=%7B%22REFERENCE_FILE%23%22%3A%22A0792%2F23TEY%22%7D" TargetMode="External" Id="rId147" /><Relationship Type="http://schemas.openxmlformats.org/officeDocument/2006/relationships/hyperlink" Target="https://www.toronto.ca/city-government/planning-development/committee-of-adjustment/more-information-about-application/" TargetMode="External" Id="rId148" /><Relationship Type="http://schemas.openxmlformats.org/officeDocument/2006/relationships/hyperlink" Target="https://www.google.com/maps/search/?api=1&amp;query=43.6718380132992,-79.439182476974" TargetMode="External" Id="rId149" /><Relationship Type="http://schemas.openxmlformats.org/officeDocument/2006/relationships/hyperlink" Target="https://ckan0.cf.opendata.inter.prod-toronto.ca/api/3/action/datastore_search?resource_id=9c97254e-5460-4799-896f-c7823413c81c&amp;filters=%7B%22REFERENCE_FILE%23%22%3A%22A0960%2F17EYK%22%7D" TargetMode="External" Id="rId150" /><Relationship Type="http://schemas.openxmlformats.org/officeDocument/2006/relationships/hyperlink" Target="https://www.toronto.ca/city-government/planning-development/committee-of-adjustment/more-information-about-application/" TargetMode="External" Id="rId151" /><Relationship Type="http://schemas.openxmlformats.org/officeDocument/2006/relationships/hyperlink" Target="https://www.google.com/maps/search/?api=1&amp;query=43.6714040272062,-79.4370775688624" TargetMode="External" Id="rId152" /><Relationship Type="http://schemas.openxmlformats.org/officeDocument/2006/relationships/hyperlink" Target="https://ckan0.cf.opendata.inter.prod-toronto.ca/api/3/action/datastore_search?resource_id=9c97254e-5460-4799-896f-c7823413c81c&amp;filters=%7B%22REFERENCE_FILE%23%22%3A%22A0864%2F25TEY%22%7D" TargetMode="External" Id="rId153" /><Relationship Type="http://schemas.openxmlformats.org/officeDocument/2006/relationships/hyperlink" Target="https://www.toronto.ca/city-government/planning-development/committee-of-adjustment/more-information-about-application/" TargetMode="External" Id="rId154" /><Relationship Type="http://schemas.openxmlformats.org/officeDocument/2006/relationships/hyperlink" Target="https://www.google.com/maps/search/?api=1&amp;query=43.6713692301514,-79.4370649935323" TargetMode="External" Id="rId155" /><Relationship Type="http://schemas.openxmlformats.org/officeDocument/2006/relationships/hyperlink" Target="https://ckan0.cf.opendata.inter.prod-toronto.ca/api/3/action/datastore_search?resource_id=9c97254e-5460-4799-896f-c7823413c81c&amp;filters=%7B%22REFERENCE_FILE%23%22%3A%22A0865%2F25TEY%22%7D" TargetMode="External" Id="rId156" /><Relationship Type="http://schemas.openxmlformats.org/officeDocument/2006/relationships/hyperlink" Target="https://www.toronto.ca/city-government/planning-development/committee-of-adjustment/more-information-about-application/" TargetMode="External" Id="rId157" /><Relationship Type="http://schemas.openxmlformats.org/officeDocument/2006/relationships/hyperlink" Target="https://www.google.com/maps/search/?api=1&amp;query=43.6726141575099,-79.438854067877" TargetMode="External" Id="rId158" /><Relationship Type="http://schemas.openxmlformats.org/officeDocument/2006/relationships/hyperlink" Target="https://ckan0.cf.opendata.inter.prod-toronto.ca/api/3/action/datastore_search?resource_id=9c97254e-5460-4799-896f-c7823413c81c&amp;filters=%7B%22REFERENCE_FILE%23%22%3A%22A1038%2F21TEY%22%7D" TargetMode="External" Id="rId159" /><Relationship Type="http://schemas.openxmlformats.org/officeDocument/2006/relationships/hyperlink" Target="https://www.toronto.ca/city-government/planning-development/committee-of-adjustment/more-information-about-application/" TargetMode="External" Id="rId160" /><Relationship Type="http://schemas.openxmlformats.org/officeDocument/2006/relationships/hyperlink" Target="https://www.google.com/maps/search/?api=1&amp;query=43.6726141575099,-79.438854067877" TargetMode="External" Id="rId161" /><Relationship Type="http://schemas.openxmlformats.org/officeDocument/2006/relationships/hyperlink" Target="https://ckan0.cf.opendata.inter.prod-toronto.ca/api/3/action/datastore_search?resource_id=9c97254e-5460-4799-896f-c7823413c81c&amp;filters=%7B%22REFERENCE_FILE%23%22%3A%22A1199%2F22TEY%22%7D" TargetMode="External" Id="rId162" /><Relationship Type="http://schemas.openxmlformats.org/officeDocument/2006/relationships/hyperlink" Target="https://www.toronto.ca/city-government/planning-development/committee-of-adjustment/more-information-about-application/" TargetMode="External" Id="rId163" /><Relationship Type="http://schemas.openxmlformats.org/officeDocument/2006/relationships/hyperlink" Target="https://www.google.com/maps/search/?api=1&amp;query=43.670231675765,-79.4379496157968" TargetMode="External" Id="rId164" /><Relationship Type="http://schemas.openxmlformats.org/officeDocument/2006/relationships/hyperlink" Target="https://ckan0.cf.opendata.inter.prod-toronto.ca/api/3/action/datastore_search?resource_id=9c97254e-5460-4799-896f-c7823413c81c&amp;filters=%7B%22REFERENCE_FILE%23%22%3A%22A0386%2F23TEY%22%7D" TargetMode="External" Id="rId165" /><Relationship Type="http://schemas.openxmlformats.org/officeDocument/2006/relationships/hyperlink" Target="https://www.toronto.ca/city-government/planning-development/committee-of-adjustment/more-information-about-application/" TargetMode="External" Id="rId166" /><Relationship Type="http://schemas.openxmlformats.org/officeDocument/2006/relationships/hyperlink" Target="https://www.google.com/maps/search/?api=1&amp;query=43.6720066820284,-79.4366014228849" TargetMode="External" Id="rId167" /><Relationship Type="http://schemas.openxmlformats.org/officeDocument/2006/relationships/hyperlink" Target="https://www.toronto.ca/city-government/planning-development/committee-of-adjustment/more-information-about-application/" TargetMode="External" Id="rId168" /><Relationship Type="http://schemas.openxmlformats.org/officeDocument/2006/relationships/hyperlink" Target="https://www.google.com/maps/search/?api=1&amp;query=43.6715543157451,-79.4405807797128" TargetMode="External" Id="rId169" /><Relationship Type="http://schemas.openxmlformats.org/officeDocument/2006/relationships/hyperlink" Target="https://ckan0.cf.opendata.inter.prod-toronto.ca/api/3/action/datastore_search?resource_id=9c97254e-5460-4799-896f-c7823413c81c&amp;filters=%7B%22REFERENCE_FILE%23%22%3A%22A0701%2F25TEY%22%7D" TargetMode="External" Id="rId170" /><Relationship Type="http://schemas.openxmlformats.org/officeDocument/2006/relationships/hyperlink" Target="https://www.toronto.ca/city-government/planning-development/committee-of-adjustment/more-information-about-application/" TargetMode="External" Id="rId171" /><Relationship Type="http://schemas.openxmlformats.org/officeDocument/2006/relationships/hyperlink" Target="https://www.google.com/maps/search/?api=1&amp;query=43.6714572728121,-79.4405988319372" TargetMode="External" Id="rId172" /><Relationship Type="http://schemas.openxmlformats.org/officeDocument/2006/relationships/hyperlink" Target="https://ckan0.cf.opendata.inter.prod-toronto.ca/api/3/action/datastore_search?resource_id=9c97254e-5460-4799-896f-c7823413c81c&amp;filters=%7B%22REFERENCE_FILE%23%22%3A%22A0995%2F24TEY%22%7D" TargetMode="External" Id="rId173" /><Relationship Type="http://schemas.openxmlformats.org/officeDocument/2006/relationships/hyperlink" Target="https://www.toronto.ca/city-government/planning-development/committee-of-adjustment/more-information-about-application/" TargetMode="External" Id="rId174" /><Relationship Type="http://schemas.openxmlformats.org/officeDocument/2006/relationships/hyperlink" Target="https://www.google.com/maps/search/?api=1&amp;query=43.6700019532538,-79.4377517282727" TargetMode="External" Id="rId175" /><Relationship Type="http://schemas.openxmlformats.org/officeDocument/2006/relationships/hyperlink" Target="https://www.toronto.ca/city-government/planning-development/committee-of-adjustment/more-information-about-application/" TargetMode="External" Id="rId176" /><Relationship Type="http://schemas.openxmlformats.org/officeDocument/2006/relationships/hyperlink" Target="https://www.google.com/maps/search/?api=1&amp;query=43.6699011651216,-79.4386671678678" TargetMode="External" Id="rId177" /><Relationship Type="http://schemas.openxmlformats.org/officeDocument/2006/relationships/hyperlink" Target="https://ckan0.cf.opendata.inter.prod-toronto.ca/api/3/action/datastore_search?resource_id=9c97254e-5460-4799-896f-c7823413c81c&amp;filters=%7B%22REFERENCE_FILE%23%22%3A%22A0691%2F24TEY%22%7D" TargetMode="External" Id="rId178" /><Relationship Type="http://schemas.openxmlformats.org/officeDocument/2006/relationships/hyperlink" Target="https://www.toronto.ca/city-government/planning-development/committee-of-adjustment/more-information-about-application/" TargetMode="External" Id="rId179" /><Relationship Type="http://schemas.openxmlformats.org/officeDocument/2006/relationships/hyperlink" Target="https://www.google.com/maps/search/?api=1&amp;query=43.6698561339915,-79.4384541473443" TargetMode="External" Id="rId180" /><Relationship Type="http://schemas.openxmlformats.org/officeDocument/2006/relationships/hyperlink" Target="https://ckan0.cf.opendata.inter.prod-toronto.ca/api/3/action/datastore_search?resource_id=9c97254e-5460-4799-896f-c7823413c81c&amp;filters=%7B%22REFERENCE_FILE%23%22%3A%22A0237%2F18EYK%22%7D" TargetMode="External" Id="rId181" /><Relationship Type="http://schemas.openxmlformats.org/officeDocument/2006/relationships/hyperlink" Target="https://www.toronto.ca/city-government/planning-development/committee-of-adjustment/more-information-about-application/" TargetMode="External" Id="rId182" /><Relationship Type="http://schemas.openxmlformats.org/officeDocument/2006/relationships/hyperlink" Target="https://www.google.com/maps/search/?api=1&amp;query=43.6698561339915,-79.4384541473443" TargetMode="External" Id="rId183" /><Relationship Type="http://schemas.openxmlformats.org/officeDocument/2006/relationships/hyperlink" Target="https://ckan0.cf.opendata.inter.prod-toronto.ca/api/3/action/datastore_search?resource_id=9c97254e-5460-4799-896f-c7823413c81c&amp;filters=%7B%22REFERENCE_FILE%23%22%3A%22A1083%2F23TEY%22%7D" TargetMode="External" Id="rId184" /><Relationship Type="http://schemas.openxmlformats.org/officeDocument/2006/relationships/hyperlink" Target="https://www.toronto.ca/city-government/planning-development/committee-of-adjustment/more-information-about-application/" TargetMode="External" Id="rId185" /><Relationship Type="http://schemas.openxmlformats.org/officeDocument/2006/relationships/hyperlink" Target="https://www.google.com/maps/search/?api=1&amp;query=43.6702887474318,-79.4400644500637" TargetMode="External" Id="rId186" /><Relationship Type="http://schemas.openxmlformats.org/officeDocument/2006/relationships/hyperlink" Target="https://ckan0.cf.opendata.inter.prod-toronto.ca/api/3/action/datastore_search?resource_id=9c97254e-5460-4799-896f-c7823413c81c&amp;filters=%7B%22REFERENCE_FILE%23%22%3A%22A1168%2F21TEY%22%7D" TargetMode="External" Id="rId187" /><Relationship Type="http://schemas.openxmlformats.org/officeDocument/2006/relationships/hyperlink" Target="https://www.toronto.ca/city-government/planning-development/committee-of-adjustment/more-information-about-application/" TargetMode="External" Id="rId188" /><Relationship Type="http://schemas.openxmlformats.org/officeDocument/2006/relationships/hyperlink" Target="https://www.google.com/maps/search/?api=1&amp;query=43.6727508322575,-79.4369950210124" TargetMode="External" Id="rId189" /><Relationship Type="http://schemas.openxmlformats.org/officeDocument/2006/relationships/hyperlink" Target="https://ckan0.cf.opendata.inter.prod-toronto.ca/api/3/action/datastore_search?resource_id=9c97254e-5460-4799-896f-c7823413c81c&amp;filters=%7B%22REFERENCE_FILE%23%22%3A%22A0191%2F24TEY%22%7D" TargetMode="External" Id="rId190" /><Relationship Type="http://schemas.openxmlformats.org/officeDocument/2006/relationships/hyperlink" Target="https://www.toronto.ca/city-government/planning-development/committee-of-adjustment/more-information-about-application/" TargetMode="External" Id="rId191" /><Relationship Type="http://schemas.openxmlformats.org/officeDocument/2006/relationships/hyperlink" Target="https://www.google.com/maps/search/?api=1&amp;query=43.6706294606856,-79.4360356017999" TargetMode="External" Id="rId192" /><Relationship Type="http://schemas.openxmlformats.org/officeDocument/2006/relationships/hyperlink" Target="https://ckan0.cf.opendata.inter.prod-toronto.ca/api/3/action/datastore_search?resource_id=9c97254e-5460-4799-896f-c7823413c81c&amp;filters=%7B%22REFERENCE_FILE%23%22%3A%22A1144%2F19TEY%22%7D" TargetMode="External" Id="rId193" /><Relationship Type="http://schemas.openxmlformats.org/officeDocument/2006/relationships/hyperlink" Target="https://www.toronto.ca/city-government/planning-development/committee-of-adjustment/more-information-about-application/" TargetMode="External" Id="rId194" /><Relationship Type="http://schemas.openxmlformats.org/officeDocument/2006/relationships/hyperlink" Target="https://www.google.com/maps/search/?api=1&amp;query=43.6694684002234,-79.438284495786" TargetMode="External" Id="rId195" /><Relationship Type="http://schemas.openxmlformats.org/officeDocument/2006/relationships/hyperlink" Target="https://ckan0.cf.opendata.inter.prod-toronto.ca/api/3/action/datastore_search?resource_id=9c97254e-5460-4799-896f-c7823413c81c&amp;filters=%7B%22REFERENCE_FILE%23%22%3A%22A0495%2F24TEY%22%7D" TargetMode="External" Id="rId196" /><Relationship Type="http://schemas.openxmlformats.org/officeDocument/2006/relationships/hyperlink" Target="https://www.toronto.ca/city-government/planning-development/committee-of-adjustment/more-information-about-application/" TargetMode="External" Id="rId197" /><Relationship Type="http://schemas.openxmlformats.org/officeDocument/2006/relationships/hyperlink" Target="https://www.google.com/maps/search/?api=1&amp;query=43.6705706442738,-79.4360164307705" TargetMode="External" Id="rId198" /><Relationship Type="http://schemas.openxmlformats.org/officeDocument/2006/relationships/hyperlink" Target="https://ckan0.cf.opendata.inter.prod-toronto.ca/api/3/action/datastore_search?resource_id=9c97254e-5460-4799-896f-c7823413c81c&amp;filters=%7B%22REFERENCE_FILE%23%22%3A%22A0647%2F20TEY%22%7D" TargetMode="External" Id="rId199" /><Relationship Type="http://schemas.openxmlformats.org/officeDocument/2006/relationships/hyperlink" Target="https://www.toronto.ca/city-government/planning-development/committee-of-adjustment/more-information-about-application/" TargetMode="External" Id="rId200" /><Relationship Type="http://schemas.openxmlformats.org/officeDocument/2006/relationships/hyperlink" Target="https://www.google.com/maps/search/?api=1&amp;query=43.6705706442738,-79.4360164307705" TargetMode="External" Id="rId201" /><Relationship Type="http://schemas.openxmlformats.org/officeDocument/2006/relationships/hyperlink" Target="https://ckan0.cf.opendata.inter.prod-toronto.ca/api/3/action/datastore_search?resource_id=9c97254e-5460-4799-896f-c7823413c81c&amp;filters=%7B%22REFERENCE_FILE%23%22%3A%22B0104%2F19TEY%22%7D" TargetMode="External" Id="rId202" /><Relationship Type="http://schemas.openxmlformats.org/officeDocument/2006/relationships/hyperlink" Target="https://www.toronto.ca/city-government/planning-development/committee-of-adjustment/more-information-about-application/" TargetMode="External" Id="rId203" /><Relationship Type="http://schemas.openxmlformats.org/officeDocument/2006/relationships/hyperlink" Target="https://www.google.com/maps/search/?api=1&amp;query=43.6694090716806,-79.4385671507817" TargetMode="External" Id="rId204" /><Relationship Type="http://schemas.openxmlformats.org/officeDocument/2006/relationships/hyperlink" Target="https://ckan0.cf.opendata.inter.prod-toronto.ca/api/3/action/datastore_search?resource_id=9c97254e-5460-4799-896f-c7823413c81c&amp;filters=%7B%22REFERENCE_FILE%23%22%3A%22A0403%2F18EYK%22%7D" TargetMode="External" Id="rId205" /><Relationship Type="http://schemas.openxmlformats.org/officeDocument/2006/relationships/hyperlink" Target="https://www.toronto.ca/city-government/planning-development/committee-of-adjustment/more-information-about-application/" TargetMode="External" Id="rId206" /><Relationship Type="http://schemas.openxmlformats.org/officeDocument/2006/relationships/hyperlink" Target="https://www.google.com/maps/search/?api=1&amp;query=43.6692848403954,-79.4391657599165" TargetMode="External" Id="rId207" /><Relationship Type="http://schemas.openxmlformats.org/officeDocument/2006/relationships/hyperlink" Target="https://ckan0.cf.opendata.inter.prod-toronto.ca/api/3/action/datastore_search?resource_id=9c97254e-5460-4799-896f-c7823413c81c&amp;filters=%7B%22REFERENCE_FILE%23%22%3A%22A0760%2F20TEY%22%7D" TargetMode="External" Id="rId208" /><Relationship Type="http://schemas.openxmlformats.org/officeDocument/2006/relationships/table" Target="/xl/tables/table1.xml" Id="rId209" /></Relationships>
</file>

<file path=xl/worksheets/_rels/sheet5.xml.rels><Relationships xmlns="http://schemas.openxmlformats.org/package/2006/relationships"><Relationship Type="http://schemas.openxmlformats.org/officeDocument/2006/relationships/hyperlink" Target="https://www.toronto.ca/services-payments/building-construction/building-permit/before-you-apply-for-a-building-permit/preliminary-zoning-reviews-information/request-building-records/" TargetMode="External" Id="rId1" /><Relationship Type="http://schemas.openxmlformats.org/officeDocument/2006/relationships/hyperlink" Target="https://www.google.com/maps/search/?api=1&amp;query=43.6948515664947,-79.4181095433461" TargetMode="External" Id="rId2" /><Relationship Type="http://schemas.openxmlformats.org/officeDocument/2006/relationships/hyperlink" Target="https://ckan0.cf.opendata.inter.prod-toronto.ca/api/3/action/datastore_search?resource_id=a96c0ba4-3026-402b-b09d-5b1268b8f810&amp;filters=%7B%22PERMIT_NUM%22%3A%5B%2218+269470+BLD%22%2C%2218+269470+DRN%22%2C%2218+269470+HVA%22%2C%2218+269470+PLB%22%5D%7D" TargetMode="External" Id="rId3" /><Relationship Type="http://schemas.openxmlformats.org/officeDocument/2006/relationships/hyperlink" Target="https://www.toronto.ca/services-payments/building-construction/building-permit/before-you-apply-for-a-building-permit/preliminary-zoning-reviews-information/request-building-records/" TargetMode="External" Id="rId4" /><Relationship Type="http://schemas.openxmlformats.org/officeDocument/2006/relationships/hyperlink" Target="https://www.google.com/maps/search/?api=1&amp;query=43.6948515664947,-79.4181095433461" TargetMode="External" Id="rId5" /><Relationship Type="http://schemas.openxmlformats.org/officeDocument/2006/relationships/hyperlink" Target="https://ckan0.cf.opendata.inter.prod-toronto.ca/api/3/action/datastore_search?resource_id=a96c0ba4-3026-402b-b09d-5b1268b8f810&amp;filters=%7B%22PERMIT_NUM%22%3A%2218+269479+DEM%22%7D" TargetMode="External" Id="rId6" /><Relationship Type="http://schemas.openxmlformats.org/officeDocument/2006/relationships/hyperlink" Target="https://www.toronto.ca/services-payments/building-construction/building-permit/before-you-apply-for-a-building-permit/preliminary-zoning-reviews-information/request-building-records/" TargetMode="External" Id="rId7" /><Relationship Type="http://schemas.openxmlformats.org/officeDocument/2006/relationships/hyperlink" Target="https://www.google.com/maps/search/?api=1&amp;query=43.6949651647661,-79.418175163943" TargetMode="External" Id="rId8" /><Relationship Type="http://schemas.openxmlformats.org/officeDocument/2006/relationships/hyperlink" Target="https://ckan0.cf.opendata.inter.prod-toronto.ca/api/3/action/datastore_search?resource_id=a96c0ba4-3026-402b-b09d-5b1268b8f810&amp;filters=%7B%22PERMIT_NUM%22%3A%2216+249214+BLD%22%7D" TargetMode="External" Id="rId9" /><Relationship Type="http://schemas.openxmlformats.org/officeDocument/2006/relationships/hyperlink" Target="https://www.toronto.ca/services-payments/building-construction/building-permit/before-you-apply-for-a-building-permit/preliminary-zoning-reviews-information/request-building-records/" TargetMode="External" Id="rId10" /><Relationship Type="http://schemas.openxmlformats.org/officeDocument/2006/relationships/hyperlink" Target="https://www.google.com/maps/search/?api=1&amp;query=43.6949438608884,-79.4188474219662" TargetMode="External" Id="rId11" /><Relationship Type="http://schemas.openxmlformats.org/officeDocument/2006/relationships/hyperlink" Target="https://ckan0.cf.opendata.inter.prod-toronto.ca/api/3/action/datastore_search?resource_id=a96c0ba4-3026-402b-b09d-5b1268b8f810&amp;filters=%7B%22PERMIT_NUM%22%3A%2214+135787+DEM%22%7D" TargetMode="External" Id="rId12" /><Relationship Type="http://schemas.openxmlformats.org/officeDocument/2006/relationships/hyperlink" Target="https://www.toronto.ca/services-payments/building-construction/building-permit/before-you-apply-for-a-building-permit/preliminary-zoning-reviews-information/request-building-records/" TargetMode="External" Id="rId13" /><Relationship Type="http://schemas.openxmlformats.org/officeDocument/2006/relationships/hyperlink" Target="https://www.google.com/maps/search/?api=1&amp;query=43.6949438608884,-79.4188474219662" TargetMode="External" Id="rId14" /><Relationship Type="http://schemas.openxmlformats.org/officeDocument/2006/relationships/hyperlink" Target="https://ckan0.cf.opendata.inter.prod-toronto.ca/api/3/action/datastore_search?resource_id=6d0229af-bc54-46de-9c2b-26759b01dd05&amp;filters=%7B%22PERMIT_NUM%22%3A%5B%2214+135792+BLD%22%2C%2214+135792+DRN%22%2C%2214+135792+PLB%22%5D%7D" TargetMode="External" Id="rId15" /><Relationship Type="http://schemas.openxmlformats.org/officeDocument/2006/relationships/hyperlink" Target="https://www.toronto.ca/services-payments/building-construction/building-permit/before-you-apply-for-a-building-permit/preliminary-zoning-reviews-information/request-building-records/" TargetMode="External" Id="rId16" /><Relationship Type="http://schemas.openxmlformats.org/officeDocument/2006/relationships/hyperlink" Target="https://www.google.com/maps/search/?api=1&amp;query=43.6952067540892,-79.4182935835756" TargetMode="External" Id="rId17" /><Relationship Type="http://schemas.openxmlformats.org/officeDocument/2006/relationships/hyperlink" Target="https://ckan0.cf.opendata.inter.prod-toronto.ca/api/3/action/datastore_search?resource_id=a96c0ba4-3026-402b-b09d-5b1268b8f810&amp;filters=%7B%22PERMIT_NUM%22%3A%2202+162159+BLD%22%7D" TargetMode="External" Id="rId18" /><Relationship Type="http://schemas.openxmlformats.org/officeDocument/2006/relationships/hyperlink" Target="https://www.toronto.ca/services-payments/building-construction/building-permit/before-you-apply-for-a-building-permit/preliminary-zoning-reviews-information/request-building-records/" TargetMode="External" Id="rId19" /><Relationship Type="http://schemas.openxmlformats.org/officeDocument/2006/relationships/hyperlink" Target="https://www.google.com/maps/search/?api=1&amp;query=43.69438249114,-79.4186135640854" TargetMode="External" Id="rId20" /><Relationship Type="http://schemas.openxmlformats.org/officeDocument/2006/relationships/hyperlink" Target="https://ckan0.cf.opendata.inter.prod-toronto.ca/api/3/action/datastore_search?resource_id=a96c0ba4-3026-402b-b09d-5b1268b8f810&amp;filters=%7B%22PERMIT_NUM%22%3A%2221+151527+DEM%22%7D" TargetMode="External" Id="rId21" /><Relationship Type="http://schemas.openxmlformats.org/officeDocument/2006/relationships/hyperlink" Target="https://www.toronto.ca/services-payments/building-construction/building-permit/before-you-apply-for-a-building-permit/preliminary-zoning-reviews-information/request-building-records/" TargetMode="External" Id="rId22" /><Relationship Type="http://schemas.openxmlformats.org/officeDocument/2006/relationships/hyperlink" Target="https://www.google.com/maps/search/?api=1&amp;query=43.69438249114,-79.4186135640854" TargetMode="External" Id="rId23" /><Relationship Type="http://schemas.openxmlformats.org/officeDocument/2006/relationships/hyperlink" Target="https://ckan0.cf.opendata.inter.prod-toronto.ca/api/3/action/datastore_search?resource_id=a96c0ba4-3026-402b-b09d-5b1268b8f810&amp;filters=%7B%22PERMIT_NUM%22%3A%5B%2221+151544+BLD%22%2C%2221+151544+DRN%22%2C%2221+151544+PLB%22%5D%7D" TargetMode="External" Id="rId24" /><Relationship Type="http://schemas.openxmlformats.org/officeDocument/2006/relationships/hyperlink" Target="https://secure.toronto.ca/ApplicationStatus/setup.do?action=init" TargetMode="External" Id="rId25" /><Relationship Type="http://schemas.openxmlformats.org/officeDocument/2006/relationships/hyperlink" Target="https://www.google.com/maps/search/?api=1&amp;query=43.69438249114,-79.4186135640854" TargetMode="External" Id="rId26" /><Relationship Type="http://schemas.openxmlformats.org/officeDocument/2006/relationships/hyperlink" Target="https://ckan0.cf.opendata.inter.prod-toronto.ca/api/3/action/datastore_search?resource_id=a96c0ba4-3026-402b-b09d-5b1268b8f810&amp;filters=%7B%22PERMIT_NUM%22%3A%5B%2224+219285+BLD%22%2C%2224+219285+DRN%22%2C%2224+219285+HVA%22%2C%2224+219285+PLB%22%5D%7D" TargetMode="External" Id="rId27" /><Relationship Type="http://schemas.openxmlformats.org/officeDocument/2006/relationships/hyperlink" Target="https://www.toronto.ca/services-payments/building-construction/building-permit/before-you-apply-for-a-building-permit/preliminary-zoning-reviews-information/request-building-records/" TargetMode="External" Id="rId28" /><Relationship Type="http://schemas.openxmlformats.org/officeDocument/2006/relationships/hyperlink" Target="https://www.google.com/maps/search/?api=1&amp;query=43.69438249114,-79.4186135640854" TargetMode="External" Id="rId29" /><Relationship Type="http://schemas.openxmlformats.org/officeDocument/2006/relationships/hyperlink" Target="https://ckan0.cf.opendata.inter.prod-toronto.ca/api/3/action/datastore_search?resource_id=a96c0ba4-3026-402b-b09d-5b1268b8f810&amp;filters=%7B%22PERMIT_NUM%22%3A%2224+219288+DEM%22%7D" TargetMode="External" Id="rId30" /><Relationship Type="http://schemas.openxmlformats.org/officeDocument/2006/relationships/hyperlink" Target="https://www.toronto.ca/services-payments/building-construction/building-permit/before-you-apply-for-a-building-permit/preliminary-zoning-reviews-information/request-building-records/" TargetMode="External" Id="rId31" /><Relationship Type="http://schemas.openxmlformats.org/officeDocument/2006/relationships/hyperlink" Target="https://www.google.com/maps/search/?api=1&amp;query=43.6950659627389,-79.418922609838" TargetMode="External" Id="rId32" /><Relationship Type="http://schemas.openxmlformats.org/officeDocument/2006/relationships/hyperlink" Target="https://ckan0.cf.opendata.inter.prod-toronto.ca/api/3/action/datastore_search?resource_id=a96c0ba4-3026-402b-b09d-5b1268b8f810&amp;filters=%7B%22PERMIT_NUM%22%3A%2201+185216+BLD%22%7D" TargetMode="External" Id="rId33" /><Relationship Type="http://schemas.openxmlformats.org/officeDocument/2006/relationships/hyperlink" Target="https://www.toronto.ca/services-payments/building-construction/building-permit/before-you-apply-for-a-building-permit/preliminary-zoning-reviews-information/request-building-records/" TargetMode="External" Id="rId34" /><Relationship Type="http://schemas.openxmlformats.org/officeDocument/2006/relationships/hyperlink" Target="https://www.google.com/maps/search/?api=1&amp;query=43.6950659627389,-79.418922609838" TargetMode="External" Id="rId35" /><Relationship Type="http://schemas.openxmlformats.org/officeDocument/2006/relationships/hyperlink" Target="https://ckan0.cf.opendata.inter.prod-toronto.ca/api/3/action/datastore_search?resource_id=a96c0ba4-3026-402b-b09d-5b1268b8f810&amp;filters=%7B%22PERMIT_NUM%22%3A%2204+122828+BLD%22%7D" TargetMode="External" Id="rId36" /><Relationship Type="http://schemas.openxmlformats.org/officeDocument/2006/relationships/hyperlink" Target="https://www.toronto.ca/services-payments/building-construction/building-permit/before-you-apply-for-a-building-permit/preliminary-zoning-reviews-information/request-building-records/" TargetMode="External" Id="rId37" /><Relationship Type="http://schemas.openxmlformats.org/officeDocument/2006/relationships/hyperlink" Target="https://www.google.com/maps/search/?api=1&amp;query=43.6949601510104,-79.4176486716212" TargetMode="External" Id="rId38" /><Relationship Type="http://schemas.openxmlformats.org/officeDocument/2006/relationships/hyperlink" Target="https://ckan0.cf.opendata.inter.prod-toronto.ca/api/3/action/datastore_search?resource_id=a96c0ba4-3026-402b-b09d-5b1268b8f810&amp;filters=%7B%22PERMIT_NUM%22%3A%5B%2219+150001+BLD%22%2C%2219+150001+PLB%22%5D%7D" TargetMode="External" Id="rId39" /><Relationship Type="http://schemas.openxmlformats.org/officeDocument/2006/relationships/hyperlink" Target="https://www.toronto.ca/services-payments/building-construction/building-permit/before-you-apply-for-a-building-permit/preliminary-zoning-reviews-information/request-building-records/" TargetMode="External" Id="rId40" /><Relationship Type="http://schemas.openxmlformats.org/officeDocument/2006/relationships/hyperlink" Target="https://www.google.com/maps/search/?api=1&amp;query=43.6949601510104,-79.4176486716212" TargetMode="External" Id="rId41" /><Relationship Type="http://schemas.openxmlformats.org/officeDocument/2006/relationships/hyperlink" Target="https://ckan0.cf.opendata.inter.prod-toronto.ca/api/3/action/datastore_search?resource_id=a96c0ba4-3026-402b-b09d-5b1268b8f810&amp;filters=%7B%22PERMIT_NUM%22%3A%2225+117344+BLD%22%7D" TargetMode="External" Id="rId42" /><Relationship Type="http://schemas.openxmlformats.org/officeDocument/2006/relationships/hyperlink" Target="https://www.toronto.ca/services-payments/building-construction/building-permit/before-you-apply-for-a-building-permit/preliminary-zoning-reviews-information/request-building-records/" TargetMode="External" Id="rId43" /><Relationship Type="http://schemas.openxmlformats.org/officeDocument/2006/relationships/hyperlink" Target="https://www.google.com/maps/search/?api=1&amp;query=43.6942734271445,-79.4185569063973" TargetMode="External" Id="rId44" /><Relationship Type="http://schemas.openxmlformats.org/officeDocument/2006/relationships/hyperlink" Target="https://ckan0.cf.opendata.inter.prod-toronto.ca/api/3/action/datastore_search?resource_id=a96c0ba4-3026-402b-b09d-5b1268b8f810&amp;filters=%7B%22PERMIT_NUM%22%3A%2204+161888+BLD%22%7D" TargetMode="External" Id="rId45" /><Relationship Type="http://schemas.openxmlformats.org/officeDocument/2006/relationships/hyperlink" Target="https://www.toronto.ca/services-payments/building-construction/building-permit/before-you-apply-for-a-building-permit/preliminary-zoning-reviews-information/request-building-records/" TargetMode="External" Id="rId46" /><Relationship Type="http://schemas.openxmlformats.org/officeDocument/2006/relationships/hyperlink" Target="https://www.google.com/maps/search/?api=1&amp;query=43.6942734271445,-79.4185569063973" TargetMode="External" Id="rId47" /><Relationship Type="http://schemas.openxmlformats.org/officeDocument/2006/relationships/hyperlink" Target="https://ckan0.cf.opendata.inter.prod-toronto.ca/api/3/action/datastore_search?resource_id=a96c0ba4-3026-402b-b09d-5b1268b8f810&amp;filters=%7B%22PERMIT_NUM%22%3A%2219+202328+DRN%22%7D" TargetMode="External" Id="rId48" /><Relationship Type="http://schemas.openxmlformats.org/officeDocument/2006/relationships/hyperlink" Target="https://www.toronto.ca/services-payments/building-construction/building-permit/before-you-apply-for-a-building-permit/preliminary-zoning-reviews-information/request-building-records/" TargetMode="External" Id="rId49" /><Relationship Type="http://schemas.openxmlformats.org/officeDocument/2006/relationships/hyperlink" Target="https://www.google.com/maps/search/?api=1&amp;query=43.6952610904789,-79.4177602716837" TargetMode="External" Id="rId50" /><Relationship Type="http://schemas.openxmlformats.org/officeDocument/2006/relationships/hyperlink" Target="https://ckan0.cf.opendata.inter.prod-toronto.ca/api/3/action/datastore_search?resource_id=a96c0ba4-3026-402b-b09d-5b1268b8f810&amp;filters=%7B%22PERMIT_NUM%22%3A%2203+123097+BLD%22%7D" TargetMode="External" Id="rId51" /><Relationship Type="http://schemas.openxmlformats.org/officeDocument/2006/relationships/hyperlink" Target="https://www.toronto.ca/services-payments/building-construction/building-permit/before-you-apply-for-a-building-permit/preliminary-zoning-reviews-information/request-building-records/" TargetMode="External" Id="rId52" /><Relationship Type="http://schemas.openxmlformats.org/officeDocument/2006/relationships/hyperlink" Target="https://www.google.com/maps/search/?api=1&amp;query=43.6952539922247,-79.418988256061" TargetMode="External" Id="rId53" /><Relationship Type="http://schemas.openxmlformats.org/officeDocument/2006/relationships/hyperlink" Target="https://ckan0.cf.opendata.inter.prod-toronto.ca/api/3/action/datastore_search?resource_id=a96c0ba4-3026-402b-b09d-5b1268b8f810&amp;filters=%7B%22PERMIT_NUM%22%3A%2208+115422+DEM%22%7D" TargetMode="External" Id="rId54" /><Relationship Type="http://schemas.openxmlformats.org/officeDocument/2006/relationships/hyperlink" Target="https://www.toronto.ca/services-payments/building-construction/building-permit/before-you-apply-for-a-building-permit/preliminary-zoning-reviews-information/request-building-records/" TargetMode="External" Id="rId55" /><Relationship Type="http://schemas.openxmlformats.org/officeDocument/2006/relationships/hyperlink" Target="https://www.google.com/maps/search/?api=1&amp;query=43.6952539922247,-79.418988256061" TargetMode="External" Id="rId56" /><Relationship Type="http://schemas.openxmlformats.org/officeDocument/2006/relationships/hyperlink" Target="https://ckan0.cf.opendata.inter.prod-toronto.ca/api/3/action/datastore_search?resource_id=a96c0ba4-3026-402b-b09d-5b1268b8f810&amp;filters=%7B%22PERMIT_NUM%22%3A%5B%2208+115432+BLD%22%2C%2208+115432+DRN%22%2C%2208+115432+HVA%22%2C%2208+115432+PLB%22%5D%7D" TargetMode="External" Id="rId57" /><Relationship Type="http://schemas.openxmlformats.org/officeDocument/2006/relationships/hyperlink" Target="https://www.toronto.ca/services-payments/building-construction/building-permit/before-you-apply-for-a-building-permit/preliminary-zoning-reviews-information/request-building-records/" TargetMode="External" Id="rId58" /><Relationship Type="http://schemas.openxmlformats.org/officeDocument/2006/relationships/hyperlink" Target="https://www.google.com/maps/search/?api=1&amp;query=43.6952610904789,-79.4177602716837" TargetMode="External" Id="rId59" /><Relationship Type="http://schemas.openxmlformats.org/officeDocument/2006/relationships/hyperlink" Target="https://ckan0.cf.opendata.inter.prod-toronto.ca/api/3/action/datastore_search?resource_id=6d0229af-bc54-46de-9c2b-26759b01dd05&amp;filters=%7B%22PERMIT_NUM%22%3A%2209+183725+BLD%22%7D" TargetMode="External" Id="rId60" /><Relationship Type="http://schemas.openxmlformats.org/officeDocument/2006/relationships/hyperlink" Target="https://www.toronto.ca/services-payments/building-construction/building-permit/before-you-apply-for-a-building-permit/preliminary-zoning-reviews-information/request-building-records/" TargetMode="External" Id="rId61" /><Relationship Type="http://schemas.openxmlformats.org/officeDocument/2006/relationships/hyperlink" Target="https://www.google.com/maps/search/?api=1&amp;query=43.6952539922247,-79.418988256061" TargetMode="External" Id="rId62" /><Relationship Type="http://schemas.openxmlformats.org/officeDocument/2006/relationships/hyperlink" Target="https://ckan0.cf.opendata.inter.prod-toronto.ca/api/3/action/datastore_search?resource_id=a96c0ba4-3026-402b-b09d-5b1268b8f810&amp;filters=%7B%22PERMIT_NUM%22%3A%2210+192388+BLD%22%7D" TargetMode="External" Id="rId63" /><Relationship Type="http://schemas.openxmlformats.org/officeDocument/2006/relationships/hyperlink" Target="https://www.toronto.ca/services-payments/building-construction/building-permit/before-you-apply-for-a-building-permit/preliminary-zoning-reviews-information/request-building-records/" TargetMode="External" Id="rId64" /><Relationship Type="http://schemas.openxmlformats.org/officeDocument/2006/relationships/hyperlink" Target="https://www.google.com/maps/search/?api=1&amp;query=43.6954932368343,-79.4184051697033" TargetMode="External" Id="rId65" /><Relationship Type="http://schemas.openxmlformats.org/officeDocument/2006/relationships/hyperlink" Target="https://ckan0.cf.opendata.inter.prod-toronto.ca/api/3/action/datastore_search?resource_id=a96c0ba4-3026-402b-b09d-5b1268b8f810&amp;filters=%7B%22PERMIT_NUM%22%3A%5B%2210+117622+BLD%22%2C%2210+117622+DRN%22%2C%2210+117622+PLB%22%5D%7D" TargetMode="External" Id="rId66" /><Relationship Type="http://schemas.openxmlformats.org/officeDocument/2006/relationships/hyperlink" Target="https://www.toronto.ca/services-payments/building-construction/building-permit/before-you-apply-for-a-building-permit/preliminary-zoning-reviews-information/request-building-records/" TargetMode="External" Id="rId67" /><Relationship Type="http://schemas.openxmlformats.org/officeDocument/2006/relationships/hyperlink" Target="https://www.google.com/maps/search/?api=1&amp;query=43.6953621888828,-79.4189898844367" TargetMode="External" Id="rId68" /><Relationship Type="http://schemas.openxmlformats.org/officeDocument/2006/relationships/hyperlink" Target="https://ckan0.cf.opendata.inter.prod-toronto.ca/api/3/action/datastore_search?resource_id=a96c0ba4-3026-402b-b09d-5b1268b8f810&amp;filters=%7B%22PERMIT_NUM%22%3A%2216+247050+BLD%22%7D" TargetMode="External" Id="rId69" /><Relationship Type="http://schemas.openxmlformats.org/officeDocument/2006/relationships/hyperlink" Target="https://secure.toronto.ca/ApplicationStatus/setup.do?action=init" TargetMode="External" Id="rId70" /><Relationship Type="http://schemas.openxmlformats.org/officeDocument/2006/relationships/hyperlink" Target="https://www.google.com/maps/search/?api=1&amp;query=43.6953621888828,-79.4189898844367" TargetMode="External" Id="rId71" /><Relationship Type="http://schemas.openxmlformats.org/officeDocument/2006/relationships/hyperlink" Target="https://ckan0.cf.opendata.inter.prod-toronto.ca/api/3/action/datastore_search?resource_id=6d0229af-bc54-46de-9c2b-26759b01dd05&amp;filters=%7B%22PERMIT_NUM%22%3A%5B%2217+105960+BLD%22%2C%2217+105960+HVA%22%2C%2217+105960+PLB%22%5D%7D" TargetMode="External" Id="rId72" /><Relationship Type="http://schemas.openxmlformats.org/officeDocument/2006/relationships/hyperlink" Target="https://www.toronto.ca/services-payments/building-construction/building-permit/before-you-apply-for-a-building-permit/preliminary-zoning-reviews-information/request-building-records/" TargetMode="External" Id="rId73" /><Relationship Type="http://schemas.openxmlformats.org/officeDocument/2006/relationships/hyperlink" Target="https://www.google.com/maps/search/?api=1&amp;query=43.6947240603696,-79.4193462406377" TargetMode="External" Id="rId74" /><Relationship Type="http://schemas.openxmlformats.org/officeDocument/2006/relationships/hyperlink" Target="https://ckan0.cf.opendata.inter.prod-toronto.ca/api/3/action/datastore_search?resource_id=a96c0ba4-3026-402b-b09d-5b1268b8f810&amp;filters=%7B%22PERMIT_NUM%22%3A%2220+190793+BLD%22%7D" TargetMode="External" Id="rId75" /><Relationship Type="http://schemas.openxmlformats.org/officeDocument/2006/relationships/hyperlink" Target="https://www.toronto.ca/services-payments/building-construction/building-permit/before-you-apply-for-a-building-permit/preliminary-zoning-reviews-information/request-building-records/" TargetMode="External" Id="rId76" /><Relationship Type="http://schemas.openxmlformats.org/officeDocument/2006/relationships/hyperlink" Target="https://www.google.com/maps/search/?api=1&amp;query=43.6947240603696,-79.4193462406377" TargetMode="External" Id="rId77" /><Relationship Type="http://schemas.openxmlformats.org/officeDocument/2006/relationships/hyperlink" Target="https://ckan0.cf.opendata.inter.prod-toronto.ca/api/3/action/datastore_search?resource_id=a96c0ba4-3026-402b-b09d-5b1268b8f810&amp;filters=%7B%22PERMIT_NUM%22%3A%5B%2222+104925+BLD%22%2C%2222+104925+HVA%22%2C%2222+104925+PLB%22%5D%7D" TargetMode="External" Id="rId78" /><Relationship Type="http://schemas.openxmlformats.org/officeDocument/2006/relationships/hyperlink" Target="https://www.toronto.ca/services-payments/building-construction/building-permit/before-you-apply-for-a-building-permit/preliminary-zoning-reviews-information/request-building-records/" TargetMode="External" Id="rId79" /><Relationship Type="http://schemas.openxmlformats.org/officeDocument/2006/relationships/hyperlink" Target="https://www.google.com/maps/search/?api=1&amp;query=43.6947240603696,-79.4193462406377" TargetMode="External" Id="rId80" /><Relationship Type="http://schemas.openxmlformats.org/officeDocument/2006/relationships/hyperlink" Target="https://ckan0.cf.opendata.inter.prod-toronto.ca/api/3/action/datastore_search?resource_id=a96c0ba4-3026-402b-b09d-5b1268b8f810&amp;filters=%7B%22PERMIT_NUM%22%3A%5B%2222+141312+BLD%22%2C%2222+141312+PLB%22%5D%7D" TargetMode="External" Id="rId81" /><Relationship Type="http://schemas.openxmlformats.org/officeDocument/2006/relationships/hyperlink" Target="https://secure.toronto.ca/ApplicationStatus/setup.do?action=init" TargetMode="External" Id="rId82" /><Relationship Type="http://schemas.openxmlformats.org/officeDocument/2006/relationships/hyperlink" Target="https://www.google.com/maps/search/?api=1&amp;query=43.6948180204579,-79.4193655420348" TargetMode="External" Id="rId83" /><Relationship Type="http://schemas.openxmlformats.org/officeDocument/2006/relationships/hyperlink" Target="https://ckan0.cf.opendata.inter.prod-toronto.ca/api/3/action/datastore_search?resource_id=6d0229af-bc54-46de-9c2b-26759b01dd05&amp;filters=%7B%22PERMIT_NUM%22%3A%5B%2222+206189+BLD%22%2C%2222+206189+PLB%22%5D%7D" TargetMode="External" Id="rId84" /><Relationship Type="http://schemas.openxmlformats.org/officeDocument/2006/relationships/hyperlink" Target="https://www.toronto.ca/services-payments/building-construction/building-permit/before-you-apply-for-a-building-permit/preliminary-zoning-reviews-information/request-building-records/" TargetMode="External" Id="rId85" /><Relationship Type="http://schemas.openxmlformats.org/officeDocument/2006/relationships/hyperlink" Target="https://www.google.com/maps/search/?api=1&amp;query=43.6955991467616,-79.4184440673426" TargetMode="External" Id="rId86" /><Relationship Type="http://schemas.openxmlformats.org/officeDocument/2006/relationships/hyperlink" Target="https://ckan0.cf.opendata.inter.prod-toronto.ca/api/3/action/datastore_search?resource_id=a96c0ba4-3026-402b-b09d-5b1268b8f810&amp;filters=%7B%22PERMIT_NUM%22%3A%5B%2210+203724+HVA%22%2C%2210+203724+PLB%22%5D%7D" TargetMode="External" Id="rId87" /><Relationship Type="http://schemas.openxmlformats.org/officeDocument/2006/relationships/hyperlink" Target="https://www.toronto.ca/services-payments/building-construction/building-permit/before-you-apply-for-a-building-permit/preliminary-zoning-reviews-information/request-building-records/" TargetMode="External" Id="rId88" /><Relationship Type="http://schemas.openxmlformats.org/officeDocument/2006/relationships/hyperlink" Target="https://www.google.com/maps/search/?api=1&amp;query=43.694600753453,-79.4173078342461" TargetMode="External" Id="rId89" /><Relationship Type="http://schemas.openxmlformats.org/officeDocument/2006/relationships/hyperlink" Target="https://ckan0.cf.opendata.inter.prod-toronto.ca/api/3/action/datastore_search?resource_id=a96c0ba4-3026-402b-b09d-5b1268b8f810&amp;filters=%7B%22PERMIT_NUM%22%3A%5B%2212+196249+BLD%22%2C%2212+196249+PLB%22%5D%7D" TargetMode="External" Id="rId90" /><Relationship Type="http://schemas.openxmlformats.org/officeDocument/2006/relationships/hyperlink" Target="https://www.toronto.ca/services-payments/building-construction/building-permit/before-you-apply-for-a-building-permit/preliminary-zoning-reviews-information/request-building-records/" TargetMode="External" Id="rId91" /><Relationship Type="http://schemas.openxmlformats.org/officeDocument/2006/relationships/hyperlink" Target="https://www.google.com/maps/search/?api=1&amp;query=43.6940156221324,-79.4184320462321" TargetMode="External" Id="rId92" /><Relationship Type="http://schemas.openxmlformats.org/officeDocument/2006/relationships/hyperlink" Target="https://ckan0.cf.opendata.inter.prod-toronto.ca/api/3/action/datastore_search?resource_id=a96c0ba4-3026-402b-b09d-5b1268b8f810&amp;filters=%7B%22PERMIT_NUM%22%3A%2219+253113+BLD%22%7D" TargetMode="External" Id="rId93" /><Relationship Type="http://schemas.openxmlformats.org/officeDocument/2006/relationships/hyperlink" Target="https://www.toronto.ca/services-payments/building-construction/building-permit/before-you-apply-for-a-building-permit/preliminary-zoning-reviews-information/request-building-records/" TargetMode="External" Id="rId94" /><Relationship Type="http://schemas.openxmlformats.org/officeDocument/2006/relationships/hyperlink" Target="https://www.google.com/maps/search/?api=1&amp;query=43.6941064316795,-79.4178100327765" TargetMode="External" Id="rId95" /><Relationship Type="http://schemas.openxmlformats.org/officeDocument/2006/relationships/hyperlink" Target="https://ckan0.cf.opendata.inter.prod-toronto.ca/api/3/action/datastore_search?resource_id=a96c0ba4-3026-402b-b09d-5b1268b8f810&amp;filters=%7B%22PERMIT_NUM%22%3A%5B%2213+183848+BLD%22%2C%2213+183848+HVA%22%2C%2213+183848+PLB%22%5D%7D" TargetMode="External" Id="rId96" /><Relationship Type="http://schemas.openxmlformats.org/officeDocument/2006/relationships/hyperlink" Target="https://www.toronto.ca/services-payments/building-construction/building-permit/before-you-apply-for-a-building-permit/preliminary-zoning-reviews-information/request-building-records/" TargetMode="External" Id="rId97" /><Relationship Type="http://schemas.openxmlformats.org/officeDocument/2006/relationships/hyperlink" Target="https://www.google.com/maps/search/?api=1&amp;query=43.695122983445,-79.4194794276973" TargetMode="External" Id="rId98" /><Relationship Type="http://schemas.openxmlformats.org/officeDocument/2006/relationships/hyperlink" Target="https://ckan0.cf.opendata.inter.prod-toronto.ca/api/3/action/datastore_search?resource_id=a96c0ba4-3026-402b-b09d-5b1268b8f810&amp;filters=%7B%22PERMIT_NUM%22%3A%2222+115526+DEM%22%7D" TargetMode="External" Id="rId99" /><Relationship Type="http://schemas.openxmlformats.org/officeDocument/2006/relationships/hyperlink" Target="https://www.toronto.ca/services-payments/building-construction/building-permit/before-you-apply-for-a-building-permit/preliminary-zoning-reviews-information/request-building-records/" TargetMode="External" Id="rId100" /><Relationship Type="http://schemas.openxmlformats.org/officeDocument/2006/relationships/hyperlink" Target="https://www.google.com/maps/search/?api=1&amp;query=43.695122983445,-79.4194794276973" TargetMode="External" Id="rId101" /><Relationship Type="http://schemas.openxmlformats.org/officeDocument/2006/relationships/hyperlink" Target="https://ckan0.cf.opendata.inter.prod-toronto.ca/api/3/action/datastore_search?resource_id=a96c0ba4-3026-402b-b09d-5b1268b8f810&amp;filters=%7B%22PERMIT_NUM%22%3A%5B%2222+115562+BLD%22%2C%2222+115562+DRN%22%2C%2222+115562+HVA%22%2C%2222+115562+PLB%22%5D%7D" TargetMode="External" Id="rId102" /><Relationship Type="http://schemas.openxmlformats.org/officeDocument/2006/relationships/hyperlink" Target="https://www.toronto.ca/services-payments/building-construction/building-permit/before-you-apply-for-a-building-permit/preliminary-zoning-reviews-information/request-building-records/" TargetMode="External" Id="rId103" /><Relationship Type="http://schemas.openxmlformats.org/officeDocument/2006/relationships/hyperlink" Target="https://www.google.com/maps/search/?api=1&amp;query=43.695122983445,-79.4194794276973" TargetMode="External" Id="rId104" /><Relationship Type="http://schemas.openxmlformats.org/officeDocument/2006/relationships/hyperlink" Target="https://ckan0.cf.opendata.inter.prod-toronto.ca/api/3/action/datastore_search?resource_id=a96c0ba4-3026-402b-b09d-5b1268b8f810&amp;filters=%7B%22PERMIT_NUM%22%3A%5B%2222+212360+BLD%22%2C%2222+212360+HVA%22%2C%2222+212360+PLB%22%5D%7D" TargetMode="External" Id="rId105" /><Relationship Type="http://schemas.openxmlformats.org/officeDocument/2006/relationships/hyperlink" Target="https://secure.toronto.ca/ApplicationStatus/setup.do?action=init" TargetMode="External" Id="rId106" /><Relationship Type="http://schemas.openxmlformats.org/officeDocument/2006/relationships/hyperlink" Target="https://www.google.com/maps/search/?api=1&amp;query=43.6952394806831,-79.4195725385228" TargetMode="External" Id="rId107" /><Relationship Type="http://schemas.openxmlformats.org/officeDocument/2006/relationships/hyperlink" Target="https://ckan0.cf.opendata.inter.prod-toronto.ca/api/3/action/datastore_search?resource_id=6d0229af-bc54-46de-9c2b-26759b01dd05&amp;filters=%7B%22PERMIT_NUM%22%3A%5B%2224+123645+BLD%22%2C%2224+123645+DRN%22%2C%2224+123645+PLB%22%5D%7D" TargetMode="External" Id="rId108" /><Relationship Type="http://schemas.openxmlformats.org/officeDocument/2006/relationships/hyperlink" Target="https://secure.toronto.ca/ApplicationStatus/setup.do?action=init" TargetMode="External" Id="rId109" /><Relationship Type="http://schemas.openxmlformats.org/officeDocument/2006/relationships/hyperlink" Target="https://www.google.com/maps/search/?api=1&amp;query=43.6952394806831,-79.4195725385228" TargetMode="External" Id="rId110" /><Relationship Type="http://schemas.openxmlformats.org/officeDocument/2006/relationships/hyperlink" Target="https://ckan0.cf.opendata.inter.prod-toronto.ca/api/3/action/datastore_search?resource_id=6d0229af-bc54-46de-9c2b-26759b01dd05&amp;filters=%7B%22PERMIT_NUM%22%3A%2224+123655+DEM%22%7D" TargetMode="External" Id="rId111" /><Relationship Type="http://schemas.openxmlformats.org/officeDocument/2006/relationships/hyperlink" Target="https://www.toronto.ca/services-payments/building-construction/building-permit/before-you-apply-for-a-building-permit/preliminary-zoning-reviews-information/request-building-records/" TargetMode="External" Id="rId112" /><Relationship Type="http://schemas.openxmlformats.org/officeDocument/2006/relationships/hyperlink" Target="https://www.google.com/maps/search/?api=1&amp;query=43.6953498005105,-79.4195725647616" TargetMode="External" Id="rId113" /><Relationship Type="http://schemas.openxmlformats.org/officeDocument/2006/relationships/hyperlink" Target="https://ckan0.cf.opendata.inter.prod-toronto.ca/api/3/action/datastore_search?resource_id=a96c0ba4-3026-402b-b09d-5b1268b8f810&amp;filters=%7B%22PERMIT_NUM%22%3A%2202+117416+BLD%22%7D" TargetMode="External" Id="rId114" /><Relationship Type="http://schemas.openxmlformats.org/officeDocument/2006/relationships/hyperlink" Target="https://www.toronto.ca/services-payments/building-construction/building-permit/before-you-apply-for-a-building-permit/preliminary-zoning-reviews-information/request-building-records/" TargetMode="External" Id="rId115" /><Relationship Type="http://schemas.openxmlformats.org/officeDocument/2006/relationships/hyperlink" Target="https://www.google.com/maps/search/?api=1&amp;query=43.6958266355422,-79.4185565659511" TargetMode="External" Id="rId116" /><Relationship Type="http://schemas.openxmlformats.org/officeDocument/2006/relationships/hyperlink" Target="https://ckan0.cf.opendata.inter.prod-toronto.ca/api/3/action/datastore_search?resource_id=a96c0ba4-3026-402b-b09d-5b1268b8f810&amp;filters=%7B%22PERMIT_NUM%22%3A%2217+254910+DEM%22%7D" TargetMode="External" Id="rId117" /><Relationship Type="http://schemas.openxmlformats.org/officeDocument/2006/relationships/hyperlink" Target="https://www.toronto.ca/services-payments/building-construction/building-permit/before-you-apply-for-a-building-permit/preliminary-zoning-reviews-information/request-building-records/" TargetMode="External" Id="rId118" /><Relationship Type="http://schemas.openxmlformats.org/officeDocument/2006/relationships/hyperlink" Target="https://www.google.com/maps/search/?api=1&amp;query=43.6958266355422,-79.4185565659511" TargetMode="External" Id="rId119" /><Relationship Type="http://schemas.openxmlformats.org/officeDocument/2006/relationships/hyperlink" Target="https://ckan0.cf.opendata.inter.prod-toronto.ca/api/3/action/datastore_search?resource_id=a96c0ba4-3026-402b-b09d-5b1268b8f810&amp;filters=%7B%22PERMIT_NUM%22%3A%5B%2217+254918+BLD%22%2C%2217+254918+DRN%22%2C%2217+254918+HVA%22%2C%2217+254918+PLB%22%5D%7D" TargetMode="External" Id="rId120" /><Relationship Type="http://schemas.openxmlformats.org/officeDocument/2006/relationships/hyperlink" Target="https://www.toronto.ca/services-payments/building-construction/building-permit/before-you-apply-for-a-building-permit/preliminary-zoning-reviews-information/request-building-records/" TargetMode="External" Id="rId121" /><Relationship Type="http://schemas.openxmlformats.org/officeDocument/2006/relationships/hyperlink" Target="https://www.google.com/maps/search/?api=1&amp;query=43.6958266355422,-79.4185565659511" TargetMode="External" Id="rId122" /><Relationship Type="http://schemas.openxmlformats.org/officeDocument/2006/relationships/hyperlink" Target="https://ckan0.cf.opendata.inter.prod-toronto.ca/api/3/action/datastore_search?resource_id=a96c0ba4-3026-402b-b09d-5b1268b8f810&amp;filters=%7B%22PERMIT_NUM%22%3A%2221+132289+BLD%22%7D" TargetMode="External" Id="rId123" /><Relationship Type="http://schemas.openxmlformats.org/officeDocument/2006/relationships/hyperlink" Target="https://www.toronto.ca/services-payments/building-construction/building-permit/before-you-apply-for-a-building-permit/preliminary-zoning-reviews-information/request-building-records/" TargetMode="External" Id="rId124" /><Relationship Type="http://schemas.openxmlformats.org/officeDocument/2006/relationships/hyperlink" Target="https://www.google.com/maps/search/?api=1&amp;query=43.6958266355422,-79.4185565659511" TargetMode="External" Id="rId125" /><Relationship Type="http://schemas.openxmlformats.org/officeDocument/2006/relationships/hyperlink" Target="https://ckan0.cf.opendata.inter.prod-toronto.ca/api/3/action/datastore_search?resource_id=a96c0ba4-3026-402b-b09d-5b1268b8f810&amp;filters=%7B%22PERMIT_NUM%22%3A%2221+144306+BLD%22%7D" TargetMode="External" Id="rId126" /><Relationship Type="http://schemas.openxmlformats.org/officeDocument/2006/relationships/hyperlink" Target="https://www.toronto.ca/services-payments/building-construction/building-permit/before-you-apply-for-a-building-permit/preliminary-zoning-reviews-information/request-building-records/" TargetMode="External" Id="rId127" /><Relationship Type="http://schemas.openxmlformats.org/officeDocument/2006/relationships/hyperlink" Target="https://www.google.com/maps/search/?api=1&amp;query=43.6953498005105,-79.4195725647616" TargetMode="External" Id="rId128" /><Relationship Type="http://schemas.openxmlformats.org/officeDocument/2006/relationships/hyperlink" Target="https://ckan0.cf.opendata.inter.prod-toronto.ca/api/3/action/datastore_search?resource_id=a96c0ba4-3026-402b-b09d-5b1268b8f810&amp;filters=%7B%22PERMIT_NUM%22%3A%2223+183490+BLD%22%7D" TargetMode="External" Id="rId129" /><Relationship Type="http://schemas.openxmlformats.org/officeDocument/2006/relationships/hyperlink" Target="https://secure.toronto.ca/ApplicationStatus/setup.do?action=init" TargetMode="External" Id="rId130" /><Relationship Type="http://schemas.openxmlformats.org/officeDocument/2006/relationships/hyperlink" Target="https://www.google.com/maps/search/?api=1&amp;query=43.6953498005105,-79.4195725647616" TargetMode="External" Id="rId131" /><Relationship Type="http://schemas.openxmlformats.org/officeDocument/2006/relationships/hyperlink" Target="https://ckan0.cf.opendata.inter.prod-toronto.ca/api/3/action/datastore_search?resource_id=6d0229af-bc54-46de-9c2b-26759b01dd05&amp;filters=%7B%22PERMIT_NUM%22%3A%5B%2226+215055+BLD%22%2C%2226+215055+DRN%22%2C%2226+215055+PLB%22%5D%7D" TargetMode="External" Id="rId132" /><Relationship Type="http://schemas.openxmlformats.org/officeDocument/2006/relationships/hyperlink" Target="https://www.toronto.ca/services-payments/building-construction/building-permit/before-you-apply-for-a-building-permit/preliminary-zoning-reviews-information/request-building-records/" TargetMode="External" Id="rId133" /><Relationship Type="http://schemas.openxmlformats.org/officeDocument/2006/relationships/hyperlink" Target="https://www.google.com/maps/search/?api=1&amp;query=43.6938702111197,-79.4190339474968" TargetMode="External" Id="rId134" /><Relationship Type="http://schemas.openxmlformats.org/officeDocument/2006/relationships/hyperlink" Target="https://ckan0.cf.opendata.inter.prod-toronto.ca/api/3/action/datastore_search?resource_id=a96c0ba4-3026-402b-b09d-5b1268b8f810&amp;filters=%7B%22PERMIT_NUM%22%3A%2206+179071+BLD%22%7D" TargetMode="External" Id="rId135" /><Relationship Type="http://schemas.openxmlformats.org/officeDocument/2006/relationships/hyperlink" Target="https://www.toronto.ca/services-payments/building-construction/building-permit/before-you-apply-for-a-building-permit/preliminary-zoning-reviews-information/request-building-records/" TargetMode="External" Id="rId136" /><Relationship Type="http://schemas.openxmlformats.org/officeDocument/2006/relationships/hyperlink" Target="https://www.google.com/maps/search/?api=1&amp;query=43.694125837836,-79.4172477368068" TargetMode="External" Id="rId137" /><Relationship Type="http://schemas.openxmlformats.org/officeDocument/2006/relationships/hyperlink" Target="https://ckan0.cf.opendata.inter.prod-toronto.ca/api/3/action/datastore_search?resource_id=6d0229af-bc54-46de-9c2b-26759b01dd05&amp;filters=%7B%22PERMIT_NUM%22%3A%2206+188895+BLD%22%7D" TargetMode="External" Id="rId138" /><Relationship Type="http://schemas.openxmlformats.org/officeDocument/2006/relationships/hyperlink" Target="https://www.toronto.ca/services-payments/building-construction/building-permit/before-you-apply-for-a-building-permit/preliminary-zoning-reviews-information/request-building-records/" TargetMode="External" Id="rId139" /><Relationship Type="http://schemas.openxmlformats.org/officeDocument/2006/relationships/hyperlink" Target="https://www.google.com/maps/search/?api=1&amp;query=43.6941222832374,-79.4195437868643" TargetMode="External" Id="rId140" /><Relationship Type="http://schemas.openxmlformats.org/officeDocument/2006/relationships/hyperlink" Target="https://ckan0.cf.opendata.inter.prod-toronto.ca/api/3/action/datastore_search?resource_id=a96c0ba4-3026-402b-b09d-5b1268b8f810&amp;filters=%7B%22PERMIT_NUM%22%3A%2218+206516+DRN%22%7D" TargetMode="External" Id="rId141" /><Relationship Type="http://schemas.openxmlformats.org/officeDocument/2006/relationships/hyperlink" Target="https://secure.toronto.ca/ApplicationStatus/setup.do?action=init" TargetMode="External" Id="rId142" /><Relationship Type="http://schemas.openxmlformats.org/officeDocument/2006/relationships/hyperlink" Target="https://www.google.com/maps/search/?api=1&amp;query=43.6941222832374,-79.4195437868643" TargetMode="External" Id="rId143" /><Relationship Type="http://schemas.openxmlformats.org/officeDocument/2006/relationships/hyperlink" Target="https://ckan0.cf.opendata.inter.prod-toronto.ca/api/3/action/datastore_search?resource_id=6d0229af-bc54-46de-9c2b-26759b01dd05&amp;filters=%7B%22PERMIT_NUM%22%3A%2222+218022+BLD%22%7D" TargetMode="External" Id="rId144" /><Relationship Type="http://schemas.openxmlformats.org/officeDocument/2006/relationships/hyperlink" Target="https://www.toronto.ca/services-payments/building-construction/building-permit/before-you-apply-for-a-building-permit/preliminary-zoning-reviews-information/request-building-records/" TargetMode="External" Id="rId145" /><Relationship Type="http://schemas.openxmlformats.org/officeDocument/2006/relationships/hyperlink" Target="https://www.google.com/maps/search/?api=1&amp;query=43.6957711099615,-79.4175942040791" TargetMode="External" Id="rId146" /><Relationship Type="http://schemas.openxmlformats.org/officeDocument/2006/relationships/hyperlink" Target="https://ckan0.cf.opendata.inter.prod-toronto.ca/api/3/action/datastore_search?resource_id=a96c0ba4-3026-402b-b09d-5b1268b8f810&amp;filters=%7B%22PERMIT_NUM%22%3A%2222+203536+BLD%22%7D" TargetMode="External" Id="rId147" /><Relationship Type="http://schemas.openxmlformats.org/officeDocument/2006/relationships/hyperlink" Target="https://www.toronto.ca/services-payments/building-construction/building-permit/before-you-apply-for-a-building-permit/preliminary-zoning-reviews-information/request-building-records/" TargetMode="External" Id="rId148" /><Relationship Type="http://schemas.openxmlformats.org/officeDocument/2006/relationships/hyperlink" Target="https://www.google.com/maps/search/?api=1&amp;query=43.6954533345372,-79.4196382517256" TargetMode="External" Id="rId149" /><Relationship Type="http://schemas.openxmlformats.org/officeDocument/2006/relationships/hyperlink" Target="https://ckan0.cf.opendata.inter.prod-toronto.ca/api/3/action/datastore_search?resource_id=a96c0ba4-3026-402b-b09d-5b1268b8f810&amp;filters=%7B%22PERMIT_NUM%22%3A%5B%2219+151733+BLD%22%2C%2219+151733+DRN%22%2C%2219+151733+HVA%22%2C%2219+151733+PLB%22%5D%7D" TargetMode="External" Id="rId150" /><Relationship Type="http://schemas.openxmlformats.org/officeDocument/2006/relationships/hyperlink" Target="https://www.toronto.ca/services-payments/building-construction/building-permit/before-you-apply-for-a-building-permit/preliminary-zoning-reviews-information/request-building-records/" TargetMode="External" Id="rId151" /><Relationship Type="http://schemas.openxmlformats.org/officeDocument/2006/relationships/hyperlink" Target="https://www.google.com/maps/search/?api=1&amp;query=43.6954533345372,-79.4196382517256" TargetMode="External" Id="rId152" /><Relationship Type="http://schemas.openxmlformats.org/officeDocument/2006/relationships/hyperlink" Target="https://ckan0.cf.opendata.inter.prod-toronto.ca/api/3/action/datastore_search?resource_id=a96c0ba4-3026-402b-b09d-5b1268b8f810&amp;filters=%7B%22PERMIT_NUM%22%3A%2219+151770+DEM%22%7D" TargetMode="External" Id="rId153" /><Relationship Type="http://schemas.openxmlformats.org/officeDocument/2006/relationships/hyperlink" Target="https://www.toronto.ca/services-payments/building-construction/building-permit/before-you-apply-for-a-building-permit/preliminary-zoning-reviews-information/request-building-records/" TargetMode="External" Id="rId154" /><Relationship Type="http://schemas.openxmlformats.org/officeDocument/2006/relationships/hyperlink" Target="https://www.google.com/maps/search/?api=1&amp;query=43.6957668001789,-79.419274514065" TargetMode="External" Id="rId155" /><Relationship Type="http://schemas.openxmlformats.org/officeDocument/2006/relationships/hyperlink" Target="https://ckan0.cf.opendata.inter.prod-toronto.ca/api/3/action/datastore_search?resource_id=a96c0ba4-3026-402b-b09d-5b1268b8f810&amp;filters=%7B%22PERMIT_NUM%22%3A%5B%2205+210447+BLD%22%2C%2205+210447+PLB%22%5D%7D" TargetMode="External" Id="rId156" /><Relationship Type="http://schemas.openxmlformats.org/officeDocument/2006/relationships/hyperlink" Target="https://www.toronto.ca/services-payments/building-construction/building-permit/before-you-apply-for-a-building-permit/preliminary-zoning-reviews-information/request-building-records/" TargetMode="External" Id="rId157" /><Relationship Type="http://schemas.openxmlformats.org/officeDocument/2006/relationships/hyperlink" Target="https://www.google.com/maps/search/?api=1&amp;query=43.6951615893584,-79.4168260422443" TargetMode="External" Id="rId158" /><Relationship Type="http://schemas.openxmlformats.org/officeDocument/2006/relationships/hyperlink" Target="https://ckan0.cf.opendata.inter.prod-toronto.ca/api/3/action/datastore_search?resource_id=a96c0ba4-3026-402b-b09d-5b1268b8f810&amp;filters=%7B%22PERMIT_NUM%22%3A%5B%2218+202539+BLD%22%2C%2218+202539+DRN%22%2C%2218+202539+HVA%22%2C%2218+202539+PLB%22%5D%7D" TargetMode="External" Id="rId159" /><Relationship Type="http://schemas.openxmlformats.org/officeDocument/2006/relationships/hyperlink" Target="https://www.toronto.ca/services-payments/building-construction/building-permit/before-you-apply-for-a-building-permit/preliminary-zoning-reviews-information/request-building-records/" TargetMode="External" Id="rId160" /><Relationship Type="http://schemas.openxmlformats.org/officeDocument/2006/relationships/hyperlink" Target="https://www.google.com/maps/search/?api=1&amp;query=43.6951615893584,-79.4168260422443" TargetMode="External" Id="rId161" /><Relationship Type="http://schemas.openxmlformats.org/officeDocument/2006/relationships/hyperlink" Target="https://ckan0.cf.opendata.inter.prod-toronto.ca/api/3/action/datastore_search?resource_id=a96c0ba4-3026-402b-b09d-5b1268b8f810&amp;filters=%7B%22PERMIT_NUM%22%3A%2218+202666+DEM%22%7D" TargetMode="External" Id="rId162" /><Relationship Type="http://schemas.openxmlformats.org/officeDocument/2006/relationships/hyperlink" Target="https://secure.toronto.ca/ApplicationStatus/setup.do?action=init" TargetMode="External" Id="rId163" /><Relationship Type="http://schemas.openxmlformats.org/officeDocument/2006/relationships/hyperlink" Target="https://www.google.com/maps/search/?api=1&amp;query=43.6951615893584,-79.4168260422443" TargetMode="External" Id="rId164" /><Relationship Type="http://schemas.openxmlformats.org/officeDocument/2006/relationships/hyperlink" Target="https://ckan0.cf.opendata.inter.prod-toronto.ca/api/3/action/datastore_search?resource_id=6d0229af-bc54-46de-9c2b-26759b01dd05&amp;filters=%7B%22PERMIT_NUM%22%3A%2225+117324+BLD%22%7D" TargetMode="External" Id="rId165" /><Relationship Type="http://schemas.openxmlformats.org/officeDocument/2006/relationships/hyperlink" Target="https://www.toronto.ca/services-payments/building-construction/building-permit/before-you-apply-for-a-building-permit/preliminary-zoning-reviews-information/request-building-records/" TargetMode="External" Id="rId166" /><Relationship Type="http://schemas.openxmlformats.org/officeDocument/2006/relationships/hyperlink" Target="https://www.google.com/maps/search/?api=1&amp;query=43.6944150235063,-79.4199030467229" TargetMode="External" Id="rId167" /><Relationship Type="http://schemas.openxmlformats.org/officeDocument/2006/relationships/hyperlink" Target="https://ckan0.cf.opendata.inter.prod-toronto.ca/api/3/action/datastore_search?resource_id=a96c0ba4-3026-402b-b09d-5b1268b8f810&amp;filters=%7B%22PERMIT_NUM%22%3A%5B%2220+188403+BLD%22%2C%2220+188403+DRN%22%2C%2220+188403+HVA%22%2C%2220+188403+PLB%22%5D%7D" TargetMode="External" Id="rId168" /><Relationship Type="http://schemas.openxmlformats.org/officeDocument/2006/relationships/hyperlink" Target="https://www.toronto.ca/services-payments/building-construction/building-permit/before-you-apply-for-a-building-permit/preliminary-zoning-reviews-information/request-building-records/" TargetMode="External" Id="rId169" /><Relationship Type="http://schemas.openxmlformats.org/officeDocument/2006/relationships/hyperlink" Target="https://www.google.com/maps/search/?api=1&amp;query=43.6944150235063,-79.4199030467229" TargetMode="External" Id="rId170" /><Relationship Type="http://schemas.openxmlformats.org/officeDocument/2006/relationships/hyperlink" Target="https://ckan0.cf.opendata.inter.prod-toronto.ca/api/3/action/datastore_search?resource_id=a96c0ba4-3026-402b-b09d-5b1268b8f810&amp;filters=%7B%22PERMIT_NUM%22%3A%2220+188409+DEM%22%7D" TargetMode="External" Id="rId171" /><Relationship Type="http://schemas.openxmlformats.org/officeDocument/2006/relationships/hyperlink" Target="https://www.toronto.ca/services-payments/building-construction/building-permit/before-you-apply-for-a-building-permit/preliminary-zoning-reviews-information/request-building-records/" TargetMode="External" Id="rId172" /><Relationship Type="http://schemas.openxmlformats.org/officeDocument/2006/relationships/hyperlink" Target="https://www.google.com/maps/search/?api=1&amp;query=43.6959879552198,-79.4180759151516" TargetMode="External" Id="rId173" /><Relationship Type="http://schemas.openxmlformats.org/officeDocument/2006/relationships/hyperlink" Target="https://ckan0.cf.opendata.inter.prod-toronto.ca/api/3/action/datastore_search?resource_id=6d0229af-bc54-46de-9c2b-26759b01dd05&amp;filters=%7B%22PERMIT_NUM%22%3A%2203+167331+BLD%22%7D" TargetMode="External" Id="rId174" /><Relationship Type="http://schemas.openxmlformats.org/officeDocument/2006/relationships/hyperlink" Target="https://www.toronto.ca/services-payments/building-construction/building-permit/before-you-apply-for-a-building-permit/preliminary-zoning-reviews-information/request-building-records/" TargetMode="External" Id="rId175" /><Relationship Type="http://schemas.openxmlformats.org/officeDocument/2006/relationships/hyperlink" Target="https://www.google.com/maps/search/?api=1&amp;query=43.6939789712825,-79.4171835540749" TargetMode="External" Id="rId176" /><Relationship Type="http://schemas.openxmlformats.org/officeDocument/2006/relationships/hyperlink" Target="https://ckan0.cf.opendata.inter.prod-toronto.ca/api/3/action/datastore_search?resource_id=a96c0ba4-3026-402b-b09d-5b1268b8f810&amp;filters=%7B%22PERMIT_NUM%22%3A%2218+129828+BLD%22%7D" TargetMode="External" Id="rId177" /><Relationship Type="http://schemas.openxmlformats.org/officeDocument/2006/relationships/hyperlink" Target="https://www.toronto.ca/services-payments/building-construction/building-permit/before-you-apply-for-a-building-permit/preliminary-zoning-reviews-information/request-building-records/" TargetMode="External" Id="rId178" /><Relationship Type="http://schemas.openxmlformats.org/officeDocument/2006/relationships/hyperlink" Target="https://www.google.com/maps/search/?api=1&amp;query=43.6946818866676,-79.4167066555646" TargetMode="External" Id="rId179" /><Relationship Type="http://schemas.openxmlformats.org/officeDocument/2006/relationships/hyperlink" Target="https://ckan0.cf.opendata.inter.prod-toronto.ca/api/3/action/datastore_search?resource_id=a96c0ba4-3026-402b-b09d-5b1268b8f810&amp;filters=%7B%22PERMIT_NUM%22%3A%2221+240904+BLD%22%7D" TargetMode="External" Id="rId180" /><Relationship Type="http://schemas.openxmlformats.org/officeDocument/2006/relationships/hyperlink" Target="https://www.toronto.ca/services-payments/building-construction/building-permit/before-you-apply-for-a-building-permit/preliminary-zoning-reviews-information/request-building-records/" TargetMode="External" Id="rId181" /><Relationship Type="http://schemas.openxmlformats.org/officeDocument/2006/relationships/hyperlink" Target="https://www.google.com/maps/search/?api=1&amp;query=43.694790050578,-79.4200534628368" TargetMode="External" Id="rId182" /><Relationship Type="http://schemas.openxmlformats.org/officeDocument/2006/relationships/hyperlink" Target="https://ckan0.cf.opendata.inter.prod-toronto.ca/api/3/action/datastore_search?resource_id=a96c0ba4-3026-402b-b09d-5b1268b8f810&amp;filters=%7B%22PERMIT_NUM%22%3A%2222+168664+DEM%22%7D" TargetMode="External" Id="rId183" /><Relationship Type="http://schemas.openxmlformats.org/officeDocument/2006/relationships/hyperlink" Target="https://www.toronto.ca/services-payments/building-construction/building-permit/before-you-apply-for-a-building-permit/preliminary-zoning-reviews-information/request-building-records/" TargetMode="External" Id="rId184" /><Relationship Type="http://schemas.openxmlformats.org/officeDocument/2006/relationships/hyperlink" Target="https://www.google.com/maps/search/?api=1&amp;query=43.694790050578,-79.4200534628368" TargetMode="External" Id="rId185" /><Relationship Type="http://schemas.openxmlformats.org/officeDocument/2006/relationships/hyperlink" Target="https://ckan0.cf.opendata.inter.prod-toronto.ca/api/3/action/datastore_search?resource_id=a96c0ba4-3026-402b-b09d-5b1268b8f810&amp;filters=%7B%22PERMIT_NUM%22%3A%5B%2222+168675+BLD%22%2C%2222+168675+DRN%22%2C%2222+168675+HVA%22%2C%2222+168675+PLB%22%5D%7D" TargetMode="External" Id="rId186" /><Relationship Type="http://schemas.openxmlformats.org/officeDocument/2006/relationships/hyperlink" Target="https://www.toronto.ca/services-payments/building-construction/building-permit/before-you-apply-for-a-building-permit/preliminary-zoning-reviews-information/request-building-records/" TargetMode="External" Id="rId187" /><Relationship Type="http://schemas.openxmlformats.org/officeDocument/2006/relationships/hyperlink" Target="https://www.google.com/maps/search/?api=1&amp;query=43.6936364519164,-79.4189131103056" TargetMode="External" Id="rId188" /><Relationship Type="http://schemas.openxmlformats.org/officeDocument/2006/relationships/hyperlink" Target="https://ckan0.cf.opendata.inter.prod-toronto.ca/api/3/action/datastore_search?resource_id=a96c0ba4-3026-402b-b09d-5b1268b8f810&amp;filters=%7B%22PERMIT_NUM%22%3A%2212+139497+BLD%22%7D" TargetMode="External" Id="rId189" /><Relationship Type="http://schemas.openxmlformats.org/officeDocument/2006/relationships/hyperlink" Target="https://www.toronto.ca/services-payments/building-construction/building-permit/before-you-apply-for-a-building-permit/preliminary-zoning-reviews-information/request-building-records/" TargetMode="External" Id="rId190" /><Relationship Type="http://schemas.openxmlformats.org/officeDocument/2006/relationships/hyperlink" Target="https://www.google.com/maps/search/?api=1&amp;query=43.6945014198118,-79.4166572952144" TargetMode="External" Id="rId191" /><Relationship Type="http://schemas.openxmlformats.org/officeDocument/2006/relationships/hyperlink" Target="https://ckan0.cf.opendata.inter.prod-toronto.ca/api/3/action/datastore_search?resource_id=a96c0ba4-3026-402b-b09d-5b1268b8f810&amp;filters=%7B%22PERMIT_NUM%22%3A%2220+106640+DRN%22%7D" TargetMode="External" Id="rId192" /><Relationship Type="http://schemas.openxmlformats.org/officeDocument/2006/relationships/hyperlink" Target="https://www.toronto.ca/services-payments/building-construction/building-permit/before-you-apply-for-a-building-permit/preliminary-zoning-reviews-information/request-building-records/" TargetMode="External" Id="rId193" /><Relationship Type="http://schemas.openxmlformats.org/officeDocument/2006/relationships/hyperlink" Target="https://www.google.com/maps/search/?api=1&amp;query=43.6945014198118,-79.4166572952144" TargetMode="External" Id="rId194" /><Relationship Type="http://schemas.openxmlformats.org/officeDocument/2006/relationships/hyperlink" Target="https://ckan0.cf.opendata.inter.prod-toronto.ca/api/3/action/datastore_search?resource_id=a96c0ba4-3026-402b-b09d-5b1268b8f810&amp;filters=%7B%22PERMIT_NUM%22%3A%2222+157489+DRN%22%7D" TargetMode="External" Id="rId195" /><Relationship Type="http://schemas.openxmlformats.org/officeDocument/2006/relationships/hyperlink" Target="https://secure.toronto.ca/ApplicationStatus/setup.do?action=init" TargetMode="External" Id="rId196" /><Relationship Type="http://schemas.openxmlformats.org/officeDocument/2006/relationships/hyperlink" Target="https://www.google.com/maps/search/?api=1&amp;query=43.6958428919814,-79.4172532657825" TargetMode="External" Id="rId197" /><Relationship Type="http://schemas.openxmlformats.org/officeDocument/2006/relationships/hyperlink" Target="https://ckan0.cf.opendata.inter.prod-toronto.ca/api/3/action/datastore_search?resource_id=6d0229af-bc54-46de-9c2b-26759b01dd05&amp;filters=%7B%22PERMIT_NUM%22%3A%5B%2224+237001+BLD%22%2C%2224+237001+HVA%22%2C%2224+237001+PLB%22%5D%7D" TargetMode="External" Id="rId198" /><Relationship Type="http://schemas.openxmlformats.org/officeDocument/2006/relationships/hyperlink" Target="https://www.toronto.ca/services-payments/building-construction/building-permit/before-you-apply-for-a-building-permit/preliminary-zoning-reviews-information/request-building-records/" TargetMode="External" Id="rId199" /><Relationship Type="http://schemas.openxmlformats.org/officeDocument/2006/relationships/hyperlink" Target="https://www.google.com/maps/search/?api=1&amp;query=43.6958428919814,-79.4172532657825" TargetMode="External" Id="rId200" /><Relationship Type="http://schemas.openxmlformats.org/officeDocument/2006/relationships/hyperlink" Target="https://ckan0.cf.opendata.inter.prod-toronto.ca/api/3/action/datastore_search?resource_id=a96c0ba4-3026-402b-b09d-5b1268b8f810&amp;filters=%7B%22PERMIT_NUM%22%3A%2224+237021+DEM%22%7D" TargetMode="External" Id="rId201" /><Relationship Type="http://schemas.openxmlformats.org/officeDocument/2006/relationships/hyperlink" Target="https://secure.toronto.ca/ApplicationStatus/setup.do?action=init" TargetMode="External" Id="rId202" /><Relationship Type="http://schemas.openxmlformats.org/officeDocument/2006/relationships/hyperlink" Target="https://www.google.com/maps/search/?api=1&amp;query=43.6949850045152,-79.4201493110649" TargetMode="External" Id="rId203" /><Relationship Type="http://schemas.openxmlformats.org/officeDocument/2006/relationships/hyperlink" Target="https://ckan0.cf.opendata.inter.prod-toronto.ca/api/3/action/datastore_search?resource_id=6d0229af-bc54-46de-9c2b-26759b01dd05&amp;filters=%7B%22PERMIT_NUM%22%3A%2225+252872+DRN%22%7D" TargetMode="External" Id="rId204" /><Relationship Type="http://schemas.openxmlformats.org/officeDocument/2006/relationships/hyperlink" Target="https://secure.toronto.ca/ApplicationStatus/setup.do?action=init" TargetMode="External" Id="rId205" /><Relationship Type="http://schemas.openxmlformats.org/officeDocument/2006/relationships/hyperlink" Target="https://www.google.com/maps/search/?api=1&amp;query=43.6950865420799,-79.4201793967537" TargetMode="External" Id="rId206" /><Relationship Type="http://schemas.openxmlformats.org/officeDocument/2006/relationships/hyperlink" Target="https://ckan0.cf.opendata.inter.prod-toronto.ca/api/3/action/datastore_search?resource_id=6d0229af-bc54-46de-9c2b-26759b01dd05&amp;filters=%7B%22PERMIT_NUM%22%3A%5B%2224+169275+BLD%22%2C%2224+169275+DRN%22%2C%2224+169275+HVA%22%2C%2224+169275+PLB%22%5D%7D" TargetMode="External" Id="rId207" /><Relationship Type="http://schemas.openxmlformats.org/officeDocument/2006/relationships/hyperlink" Target="https://www.toronto.ca/services-payments/building-construction/building-permit/before-you-apply-for-a-building-permit/preliminary-zoning-reviews-information/request-building-records/" TargetMode="External" Id="rId208" /><Relationship Type="http://schemas.openxmlformats.org/officeDocument/2006/relationships/hyperlink" Target="https://www.google.com/maps/search/?api=1&amp;query=43.6950865420799,-79.4201793967537" TargetMode="External" Id="rId209" /><Relationship Type="http://schemas.openxmlformats.org/officeDocument/2006/relationships/hyperlink" Target="https://ckan0.cf.opendata.inter.prod-toronto.ca/api/3/action/datastore_search?resource_id=a96c0ba4-3026-402b-b09d-5b1268b8f810&amp;filters=%7B%22PERMIT_NUM%22%3A%2224+169300+DEM%22%7D" TargetMode="External" Id="rId210" /><Relationship Type="http://schemas.openxmlformats.org/officeDocument/2006/relationships/hyperlink" Target="https://www.toronto.ca/services-payments/building-construction/building-permit/before-you-apply-for-a-building-permit/preliminary-zoning-reviews-information/request-building-records/" TargetMode="External" Id="rId211" /><Relationship Type="http://schemas.openxmlformats.org/officeDocument/2006/relationships/hyperlink" Target="https://www.google.com/maps/search/?api=1&amp;query=43.6938486030512,-79.4196904135946" TargetMode="External" Id="rId212" /><Relationship Type="http://schemas.openxmlformats.org/officeDocument/2006/relationships/hyperlink" Target="https://ckan0.cf.opendata.inter.prod-toronto.ca/api/3/action/datastore_search?resource_id=6d0229af-bc54-46de-9c2b-26759b01dd05&amp;filters=%7B%22PERMIT_NUM%22%3A%5B%2207+116443+BLD%22%2C%2207+116443+HVA%22%2C%2207+116443+PLB%22%5D%7D" TargetMode="External" Id="rId213" /><Relationship Type="http://schemas.openxmlformats.org/officeDocument/2006/relationships/hyperlink" Target="https://www.toronto.ca/services-payments/building-construction/building-permit/before-you-apply-for-a-building-permit/preliminary-zoning-reviews-information/request-building-records/" TargetMode="External" Id="rId214" /><Relationship Type="http://schemas.openxmlformats.org/officeDocument/2006/relationships/hyperlink" Target="https://www.google.com/maps/search/?api=1&amp;query=43.6961072767361,-79.4177131015232" TargetMode="External" Id="rId215" /><Relationship Type="http://schemas.openxmlformats.org/officeDocument/2006/relationships/hyperlink" Target="https://ckan0.cf.opendata.inter.prod-toronto.ca/api/3/action/datastore_search?resource_id=a96c0ba4-3026-402b-b09d-5b1268b8f810&amp;filters=%7B%22PERMIT_NUM%22%3A%2213+214505+000%22%7D" TargetMode="External" Id="rId216" /><Relationship Type="http://schemas.openxmlformats.org/officeDocument/2006/relationships/hyperlink" Target="https://secure.toronto.ca/ApplicationStatus/setup.do?action=init" TargetMode="External" Id="rId217" /><Relationship Type="http://schemas.openxmlformats.org/officeDocument/2006/relationships/hyperlink" Target="https://www.google.com/maps/search/?api=1&amp;query=43.6961072767361,-79.4177131015232" TargetMode="External" Id="rId218" /><Relationship Type="http://schemas.openxmlformats.org/officeDocument/2006/relationships/hyperlink" Target="https://ckan0.cf.opendata.inter.prod-toronto.ca/api/3/action/datastore_search?resource_id=6d0229af-bc54-46de-9c2b-26759b01dd05&amp;filters=%7B%22PERMIT_NUM%22%3A%5B%2224+190054+BLD%22%2C%2224+190054+DRN%22%2C%2224+190054+HVA%22%2C%2224+190054+PLB%22%5D%7D" TargetMode="External" Id="rId219" /><Relationship Type="http://schemas.openxmlformats.org/officeDocument/2006/relationships/hyperlink" Target="https://www.toronto.ca/services-payments/building-construction/building-permit/before-you-apply-for-a-building-permit/preliminary-zoning-reviews-information/request-building-records/" TargetMode="External" Id="rId220" /><Relationship Type="http://schemas.openxmlformats.org/officeDocument/2006/relationships/hyperlink" Target="https://www.google.com/maps/search/?api=1&amp;query=43.6961072767361,-79.4177131015232" TargetMode="External" Id="rId221" /><Relationship Type="http://schemas.openxmlformats.org/officeDocument/2006/relationships/hyperlink" Target="https://ckan0.cf.opendata.inter.prod-toronto.ca/api/3/action/datastore_search?resource_id=a96c0ba4-3026-402b-b09d-5b1268b8f810&amp;filters=%7B%22PERMIT_NUM%22%3A%2224+190139+DEM%22%7D" TargetMode="External" Id="rId222" /><Relationship Type="http://schemas.openxmlformats.org/officeDocument/2006/relationships/hyperlink" Target="https://www.toronto.ca/services-payments/building-construction/building-permit/before-you-apply-for-a-building-permit/preliminary-zoning-reviews-information/request-building-records/" TargetMode="External" Id="rId223" /><Relationship Type="http://schemas.openxmlformats.org/officeDocument/2006/relationships/hyperlink" Target="https://www.google.com/maps/search/?api=1&amp;query=43.6934678916373,-79.4188340915873" TargetMode="External" Id="rId224" /><Relationship Type="http://schemas.openxmlformats.org/officeDocument/2006/relationships/hyperlink" Target="https://ckan0.cf.opendata.inter.prod-toronto.ca/api/3/action/datastore_search?resource_id=a96c0ba4-3026-402b-b09d-5b1268b8f810&amp;filters=%7B%22PERMIT_NUM%22%3A%5B%2212+121099+BLD%22%2C%2212+121099+HVA%22%2C%2212+121099+PLB%22%5D%7D" TargetMode="External" Id="rId225" /><Relationship Type="http://schemas.openxmlformats.org/officeDocument/2006/relationships/hyperlink" Target="https://www.toronto.ca/services-payments/building-construction/building-permit/before-you-apply-for-a-building-permit/preliminary-zoning-reviews-information/request-building-records/" TargetMode="External" Id="rId226" /><Relationship Type="http://schemas.openxmlformats.org/officeDocument/2006/relationships/hyperlink" Target="https://www.google.com/maps/search/?api=1&amp;query=43.6943578124265,-79.4165328549846" TargetMode="External" Id="rId227" /><Relationship Type="http://schemas.openxmlformats.org/officeDocument/2006/relationships/hyperlink" Target="https://ckan0.cf.opendata.inter.prod-toronto.ca/api/3/action/datastore_search?resource_id=a96c0ba4-3026-402b-b09d-5b1268b8f810&amp;filters=%7B%22PERMIT_NUM%22%3A%5B%2205+108775+HVA%22%2C%2205+108775+PLB%22%5D%7D" TargetMode="External" Id="rId228" /><Relationship Type="http://schemas.openxmlformats.org/officeDocument/2006/relationships/hyperlink" Target="https://www.toronto.ca/services-payments/building-construction/building-permit/before-you-apply-for-a-building-permit/preliminary-zoning-reviews-information/request-building-records/" TargetMode="External" Id="rId229" /><Relationship Type="http://schemas.openxmlformats.org/officeDocument/2006/relationships/hyperlink" Target="https://www.google.com/maps/search/?api=1&amp;query=43.6943578124265,-79.4165328549846" TargetMode="External" Id="rId230" /><Relationship Type="http://schemas.openxmlformats.org/officeDocument/2006/relationships/hyperlink" Target="https://ckan0.cf.opendata.inter.prod-toronto.ca/api/3/action/datastore_search?resource_id=a96c0ba4-3026-402b-b09d-5b1268b8f810&amp;filters=%7B%22PERMIT_NUM%22%3A%2205+108805+DEM%22%7D" TargetMode="External" Id="rId231" /><Relationship Type="http://schemas.openxmlformats.org/officeDocument/2006/relationships/hyperlink" Target="https://www.toronto.ca/services-payments/building-construction/building-permit/before-you-apply-for-a-building-permit/preliminary-zoning-reviews-information/request-building-records/" TargetMode="External" Id="rId232" /><Relationship Type="http://schemas.openxmlformats.org/officeDocument/2006/relationships/hyperlink" Target="https://www.google.com/maps/search/?api=1&amp;query=43.6958682705632,-79.4170848081668" TargetMode="External" Id="rId233" /><Relationship Type="http://schemas.openxmlformats.org/officeDocument/2006/relationships/hyperlink" Target="https://ckan0.cf.opendata.inter.prod-toronto.ca/api/3/action/datastore_search?resource_id=a96c0ba4-3026-402b-b09d-5b1268b8f810&amp;filters=%7B%22PERMIT_NUM%22%3A%2220+223903+BLD%22%7D" TargetMode="External" Id="rId234" /><Relationship Type="http://schemas.openxmlformats.org/officeDocument/2006/relationships/hyperlink" Target="https://www.toronto.ca/services-payments/building-construction/building-permit/before-you-apply-for-a-building-permit/preliminary-zoning-reviews-information/request-building-records/" TargetMode="External" Id="rId235" /><Relationship Type="http://schemas.openxmlformats.org/officeDocument/2006/relationships/hyperlink" Target="https://www.google.com/maps/search/?api=1&amp;query=43.6943578124265,-79.4165328549846" TargetMode="External" Id="rId236" /><Relationship Type="http://schemas.openxmlformats.org/officeDocument/2006/relationships/hyperlink" Target="https://ckan0.cf.opendata.inter.prod-toronto.ca/api/3/action/datastore_search?resource_id=a96c0ba4-3026-402b-b09d-5b1268b8f810&amp;filters=%7B%22PERMIT_NUM%22%3A%2221+118909+BLD%22%7D" TargetMode="External" Id="rId237" /><Relationship Type="http://schemas.openxmlformats.org/officeDocument/2006/relationships/hyperlink" Target="https://secure.toronto.ca/ApplicationStatus/setup.do?action=init" TargetMode="External" Id="rId238" /><Relationship Type="http://schemas.openxmlformats.org/officeDocument/2006/relationships/hyperlink" Target="https://www.google.com/maps/search/?api=1&amp;query=43.6943578124265,-79.4165328549846" TargetMode="External" Id="rId239" /><Relationship Type="http://schemas.openxmlformats.org/officeDocument/2006/relationships/hyperlink" Target="https://ckan0.cf.opendata.inter.prod-toronto.ca/api/3/action/datastore_search?resource_id=6d0229af-bc54-46de-9c2b-26759b01dd05&amp;filters=%7B%22PERMIT_NUM%22%3A%2221+242278+BLD%22%7D" TargetMode="External" Id="rId240" /><Relationship Type="http://schemas.openxmlformats.org/officeDocument/2006/relationships/hyperlink" Target="https://www.toronto.ca/services-payments/building-construction/building-permit/before-you-apply-for-a-building-permit/preliminary-zoning-reviews-information/request-building-records/" TargetMode="External" Id="rId241" /><Relationship Type="http://schemas.openxmlformats.org/officeDocument/2006/relationships/hyperlink" Target="https://www.google.com/maps/search/?api=1&amp;query=43.6952343980435,-79.4164889384491" TargetMode="External" Id="rId242" /><Relationship Type="http://schemas.openxmlformats.org/officeDocument/2006/relationships/hyperlink" Target="https://ckan0.cf.opendata.inter.prod-toronto.ca/api/3/action/datastore_search?resource_id=a96c0ba4-3026-402b-b09d-5b1268b8f810&amp;filters=%7B%22PERMIT_NUM%22%3A%2203+114057+BLD%22%7D" TargetMode="External" Id="rId243" /><Relationship Type="http://schemas.openxmlformats.org/officeDocument/2006/relationships/hyperlink" Target="https://www.toronto.ca/services-payments/building-construction/building-permit/before-you-apply-for-a-building-permit/preliminary-zoning-reviews-information/request-building-records/" TargetMode="External" Id="rId244" /><Relationship Type="http://schemas.openxmlformats.org/officeDocument/2006/relationships/hyperlink" Target="https://www.google.com/maps/search/?api=1&amp;query=43.6961273147062,-79.4175023339166" TargetMode="External" Id="rId245" /><Relationship Type="http://schemas.openxmlformats.org/officeDocument/2006/relationships/hyperlink" Target="https://ckan0.cf.opendata.inter.prod-toronto.ca/api/3/action/datastore_search?resource_id=a96c0ba4-3026-402b-b09d-5b1268b8f810&amp;filters=%7B%22PERMIT_NUM%22%3A%5B%2209+139609+BLD%22%2C%2209+139609+PLB%22%5D%7D" TargetMode="External" Id="rId246" /><Relationship Type="http://schemas.openxmlformats.org/officeDocument/2006/relationships/hyperlink" Target="https://secure.toronto.ca/ApplicationStatus/setup.do?action=init" TargetMode="External" Id="rId247" /><Relationship Type="http://schemas.openxmlformats.org/officeDocument/2006/relationships/hyperlink" Target="https://www.google.com/maps/search/?api=1&amp;query=43.6933525373004,-79.4187668362327" TargetMode="External" Id="rId248" /><Relationship Type="http://schemas.openxmlformats.org/officeDocument/2006/relationships/hyperlink" Target="https://ckan0.cf.opendata.inter.prod-toronto.ca/api/3/action/datastore_search?resource_id=6d0229af-bc54-46de-9c2b-26759b01dd05&amp;filters=%7B%22PERMIT_NUM%22%3A%5B%2222+210737+BLD%22%2C%2222+210737+DRN%22%2C%2222+210737+HVA%22%2C%2222+210737+PLB%22%5D%7D" TargetMode="External" Id="rId249" /><Relationship Type="http://schemas.openxmlformats.org/officeDocument/2006/relationships/hyperlink" Target="https://www.toronto.ca/services-payments/building-construction/building-permit/before-you-apply-for-a-building-permit/preliminary-zoning-reviews-information/request-building-records/" TargetMode="External" Id="rId250" /><Relationship Type="http://schemas.openxmlformats.org/officeDocument/2006/relationships/hyperlink" Target="https://www.google.com/maps/search/?api=1&amp;query=43.6933525373004,-79.4187668362327" TargetMode="External" Id="rId251" /><Relationship Type="http://schemas.openxmlformats.org/officeDocument/2006/relationships/hyperlink" Target="https://ckan0.cf.opendata.inter.prod-toronto.ca/api/3/action/datastore_search?resource_id=a96c0ba4-3026-402b-b09d-5b1268b8f810&amp;filters=%7B%22PERMIT_NUM%22%3A%2222+210750+DEM%22%7D" TargetMode="External" Id="rId252" /><Relationship Type="http://schemas.openxmlformats.org/officeDocument/2006/relationships/hyperlink" Target="https://www.toronto.ca/services-payments/building-construction/building-permit/before-you-apply-for-a-building-permit/preliminary-zoning-reviews-information/request-building-records/" TargetMode="External" Id="rId253" /><Relationship Type="http://schemas.openxmlformats.org/officeDocument/2006/relationships/hyperlink" Target="https://www.google.com/maps/search/?api=1&amp;query=43.6936137449046,-79.419605861311" TargetMode="External" Id="rId254" /><Relationship Type="http://schemas.openxmlformats.org/officeDocument/2006/relationships/hyperlink" Target="https://ckan0.cf.opendata.inter.prod-toronto.ca/api/3/action/datastore_search?resource_id=6d0229af-bc54-46de-9c2b-26759b01dd05&amp;filters=%7B%22PERMIT_NUM%22%3A%2205+166308+BLD%22%7D" TargetMode="External" Id="rId255" /><Relationship Type="http://schemas.openxmlformats.org/officeDocument/2006/relationships/hyperlink" Target="https://www.toronto.ca/services-payments/building-construction/building-permit/before-you-apply-for-a-building-permit/preliminary-zoning-reviews-information/request-building-records/" TargetMode="External" Id="rId256" /><Relationship Type="http://schemas.openxmlformats.org/officeDocument/2006/relationships/hyperlink" Target="https://www.google.com/maps/search/?api=1&amp;query=43.6933211314761,-79.4181606767804" TargetMode="External" Id="rId257" /><Relationship Type="http://schemas.openxmlformats.org/officeDocument/2006/relationships/hyperlink" Target="https://ckan0.cf.opendata.inter.prod-toronto.ca/api/3/action/datastore_search?resource_id=a96c0ba4-3026-402b-b09d-5b1268b8f810&amp;filters=%7B%22PERMIT_NUM%22%3A%2219+169558+DEM%22%7D" TargetMode="External" Id="rId258" /><Relationship Type="http://schemas.openxmlformats.org/officeDocument/2006/relationships/hyperlink" Target="https://www.toronto.ca/services-payments/building-construction/building-permit/before-you-apply-for-a-building-permit/preliminary-zoning-reviews-information/request-building-records/" TargetMode="External" Id="rId259" /><Relationship Type="http://schemas.openxmlformats.org/officeDocument/2006/relationships/hyperlink" Target="https://www.google.com/maps/search/?api=1&amp;query=43.6933211314761,-79.4181606767804" TargetMode="External" Id="rId260" /><Relationship Type="http://schemas.openxmlformats.org/officeDocument/2006/relationships/hyperlink" Target="https://ckan0.cf.opendata.inter.prod-toronto.ca/api/3/action/datastore_search?resource_id=a96c0ba4-3026-402b-b09d-5b1268b8f810&amp;filters=%7B%22PERMIT_NUM%22%3A%5B%2219+169566+BLD%22%2C%2219+169566+DRN%22%2C%2219+169566+HVA%22%2C%2219+169566+PLB%22%5D%7D" TargetMode="External" Id="rId261" /><Relationship Type="http://schemas.openxmlformats.org/officeDocument/2006/relationships/hyperlink" Target="https://www.toronto.ca/services-payments/building-construction/building-permit/before-you-apply-for-a-building-permit/preliminary-zoning-reviews-information/request-building-records/" TargetMode="External" Id="rId262" /><Relationship Type="http://schemas.openxmlformats.org/officeDocument/2006/relationships/hyperlink" Target="https://www.google.com/maps/search/?api=1&amp;query=43.6933211314761,-79.4181606767804" TargetMode="External" Id="rId263" /><Relationship Type="http://schemas.openxmlformats.org/officeDocument/2006/relationships/hyperlink" Target="https://ckan0.cf.opendata.inter.prod-toronto.ca/api/3/action/datastore_search?resource_id=a96c0ba4-3026-402b-b09d-5b1268b8f810&amp;filters=%7B%22PERMIT_NUM%22%3A%2220+191429+BLD%22%7D" TargetMode="External" Id="rId264" /><Relationship Type="http://schemas.openxmlformats.org/officeDocument/2006/relationships/hyperlink" Target="https://www.toronto.ca/services-payments/building-construction/building-permit/before-you-apply-for-a-building-permit/preliminary-zoning-reviews-information/request-building-records/" TargetMode="External" Id="rId265" /><Relationship Type="http://schemas.openxmlformats.org/officeDocument/2006/relationships/hyperlink" Target="https://www.google.com/maps/search/?api=1&amp;query=43.6955831433428,-79.4201666547455" TargetMode="External" Id="rId266" /><Relationship Type="http://schemas.openxmlformats.org/officeDocument/2006/relationships/hyperlink" Target="https://ckan0.cf.opendata.inter.prod-toronto.ca/api/3/action/datastore_search?resource_id=6d0229af-bc54-46de-9c2b-26759b01dd05&amp;filters=%7B%22PERMIT_NUM%22%3A%2201+108839+CMB%22%7D" TargetMode="External" Id="rId267" /><Relationship Type="http://schemas.openxmlformats.org/officeDocument/2006/relationships/hyperlink" Target="https://www.toronto.ca/services-payments/building-construction/building-permit/before-you-apply-for-a-building-permit/preliminary-zoning-reviews-information/request-building-records/" TargetMode="External" Id="rId268" /><Relationship Type="http://schemas.openxmlformats.org/officeDocument/2006/relationships/hyperlink" Target="https://www.google.com/maps/search/?api=1&amp;query=43.6948185347342,-79.4162746984547" TargetMode="External" Id="rId269" /><Relationship Type="http://schemas.openxmlformats.org/officeDocument/2006/relationships/hyperlink" Target="https://ckan0.cf.opendata.inter.prod-toronto.ca/api/3/action/datastore_search?resource_id=a96c0ba4-3026-402b-b09d-5b1268b8f810&amp;filters=%7B%22PERMIT_NUM%22%3A%2220+120954+BLD%22%7D" TargetMode="External" Id="rId270" /><Relationship Type="http://schemas.openxmlformats.org/officeDocument/2006/relationships/hyperlink" Target="https://www.toronto.ca/services-payments/building-construction/building-permit/before-you-apply-for-a-building-permit/preliminary-zoning-reviews-information/request-building-records/" TargetMode="External" Id="rId271" /><Relationship Type="http://schemas.openxmlformats.org/officeDocument/2006/relationships/hyperlink" Target="https://www.google.com/maps/search/?api=1&amp;query=43.6962136562595,-79.419371016276" TargetMode="External" Id="rId272" /><Relationship Type="http://schemas.openxmlformats.org/officeDocument/2006/relationships/hyperlink" Target="https://ckan0.cf.opendata.inter.prod-toronto.ca/api/3/action/datastore_search?resource_id=a96c0ba4-3026-402b-b09d-5b1268b8f810&amp;filters=%7B%22PERMIT_NUM%22%3A%5B%2214+219971+BLD%22%2C%2214+219971+DRN%22%5D%7D" TargetMode="External" Id="rId273" /><Relationship Type="http://schemas.openxmlformats.org/officeDocument/2006/relationships/hyperlink" Target="https://www.toronto.ca/services-payments/building-construction/building-permit/before-you-apply-for-a-building-permit/preliminary-zoning-reviews-information/request-building-records/" TargetMode="External" Id="rId274" /><Relationship Type="http://schemas.openxmlformats.org/officeDocument/2006/relationships/hyperlink" Target="https://www.google.com/maps/search/?api=1&amp;query=43.6962136562595,-79.419371016276" TargetMode="External" Id="rId275" /><Relationship Type="http://schemas.openxmlformats.org/officeDocument/2006/relationships/hyperlink" Target="https://ckan0.cf.opendata.inter.prod-toronto.ca/api/3/action/datastore_search?resource_id=a96c0ba4-3026-402b-b09d-5b1268b8f810&amp;filters=%7B%22PERMIT_NUM%22%3A%5B%2215+126477+BLD%22%2C%2215+126477+DRN%22%2C%2215+126477+HVA%22%2C%2215+126477+PLB%22%5D%7D" TargetMode="External" Id="rId276" /><Relationship Type="http://schemas.openxmlformats.org/officeDocument/2006/relationships/hyperlink" Target="https://www.toronto.ca/services-payments/building-construction/building-permit/before-you-apply-for-a-building-permit/preliminary-zoning-reviews-information/request-building-records/" TargetMode="External" Id="rId277" /><Relationship Type="http://schemas.openxmlformats.org/officeDocument/2006/relationships/hyperlink" Target="https://www.google.com/maps/search/?api=1&amp;query=43.6962136562595,-79.419371016276" TargetMode="External" Id="rId278" /><Relationship Type="http://schemas.openxmlformats.org/officeDocument/2006/relationships/hyperlink" Target="https://ckan0.cf.opendata.inter.prod-toronto.ca/api/3/action/datastore_search?resource_id=a96c0ba4-3026-402b-b09d-5b1268b8f810&amp;filters=%7B%22PERMIT_NUM%22%3A%2215+126975+DEM%22%7D" TargetMode="External" Id="rId279" /><Relationship Type="http://schemas.openxmlformats.org/officeDocument/2006/relationships/hyperlink" Target="https://www.toronto.ca/services-payments/building-construction/building-permit/before-you-apply-for-a-building-permit/preliminary-zoning-reviews-information/request-building-records/" TargetMode="External" Id="rId280" /><Relationship Type="http://schemas.openxmlformats.org/officeDocument/2006/relationships/hyperlink" Target="https://www.google.com/maps/search/?api=1&amp;query=43.6961891552437,-79.4194994262105" TargetMode="External" Id="rId281" /><Relationship Type="http://schemas.openxmlformats.org/officeDocument/2006/relationships/hyperlink" Target="https://ckan0.cf.opendata.inter.prod-toronto.ca/api/3/action/datastore_search?resource_id=a96c0ba4-3026-402b-b09d-5b1268b8f810&amp;filters=%7B%22PERMIT_NUM%22%3A%2220+192400+BLD%22%7D" TargetMode="External" Id="rId282" /><Relationship Type="http://schemas.openxmlformats.org/officeDocument/2006/relationships/hyperlink" Target="https://www.toronto.ca/services-payments/building-construction/building-permit/before-you-apply-for-a-building-permit/preliminary-zoning-reviews-information/request-building-records/" TargetMode="External" Id="rId283" /><Relationship Type="http://schemas.openxmlformats.org/officeDocument/2006/relationships/hyperlink" Target="https://www.google.com/maps/search/?api=1&amp;query=43.693229690901,-79.4187207548219" TargetMode="External" Id="rId284" /><Relationship Type="http://schemas.openxmlformats.org/officeDocument/2006/relationships/hyperlink" Target="https://ckan0.cf.opendata.inter.prod-toronto.ca/api/3/action/datastore_search?resource_id=a96c0ba4-3026-402b-b09d-5b1268b8f810&amp;filters=%7B%22PERMIT_NUM%22%3A%5B%2221+197176+BLD%22%2C%2221+197176+DRN%22%2C%2221+197176+HVA%22%2C%2221+197176+PLB%22%5D%7D" TargetMode="External" Id="rId285" /><Relationship Type="http://schemas.openxmlformats.org/officeDocument/2006/relationships/hyperlink" Target="https://www.toronto.ca/services-payments/building-construction/building-permit/before-you-apply-for-a-building-permit/preliminary-zoning-reviews-information/request-building-records/" TargetMode="External" Id="rId286" /><Relationship Type="http://schemas.openxmlformats.org/officeDocument/2006/relationships/hyperlink" Target="https://www.google.com/maps/search/?api=1&amp;query=43.693229690901,-79.4187207548219" TargetMode="External" Id="rId287" /><Relationship Type="http://schemas.openxmlformats.org/officeDocument/2006/relationships/hyperlink" Target="https://ckan0.cf.opendata.inter.prod-toronto.ca/api/3/action/datastore_search?resource_id=a96c0ba4-3026-402b-b09d-5b1268b8f810&amp;filters=%7B%22PERMIT_NUM%22%3A%2221+197189+DEM%22%7D" TargetMode="External" Id="rId288" /><Relationship Type="http://schemas.openxmlformats.org/officeDocument/2006/relationships/hyperlink" Target="https://www.toronto.ca/services-payments/building-construction/building-permit/before-you-apply-for-a-building-permit/preliminary-zoning-reviews-information/request-building-records/" TargetMode="External" Id="rId289" /><Relationship Type="http://schemas.openxmlformats.org/officeDocument/2006/relationships/hyperlink" Target="https://www.google.com/maps/search/?api=1&amp;query=43.6942970200201,-79.4204881646766" TargetMode="External" Id="rId290" /><Relationship Type="http://schemas.openxmlformats.org/officeDocument/2006/relationships/hyperlink" Target="https://ckan0.cf.opendata.inter.prod-toronto.ca/api/3/action/datastore_search?resource_id=a96c0ba4-3026-402b-b09d-5b1268b8f810&amp;filters=%7B%22PERMIT_NUM%22%3A%2220+156262+BLD%22%7D" TargetMode="External" Id="rId291" /><Relationship Type="http://schemas.openxmlformats.org/officeDocument/2006/relationships/hyperlink" Target="https://www.toronto.ca/services-payments/building-construction/building-permit/before-you-apply-for-a-building-permit/preliminary-zoning-reviews-information/request-building-records/" TargetMode="External" Id="rId292" /><Relationship Type="http://schemas.openxmlformats.org/officeDocument/2006/relationships/hyperlink" Target="https://www.google.com/maps/search/?api=1&amp;query=43.6945103934613,-79.4205756774463" TargetMode="External" Id="rId293" /><Relationship Type="http://schemas.openxmlformats.org/officeDocument/2006/relationships/hyperlink" Target="https://ckan0.cf.opendata.inter.prod-toronto.ca/api/3/action/datastore_search?resource_id=6d0229af-bc54-46de-9c2b-26759b01dd05&amp;filters=%7B%22PERMIT_NUM%22%3A%2207+267174+BLD%22%7D" TargetMode="External" Id="rId294" /><Relationship Type="http://schemas.openxmlformats.org/officeDocument/2006/relationships/hyperlink" Target="https://www.toronto.ca/services-payments/building-construction/building-permit/before-you-apply-for-a-building-permit/preliminary-zoning-reviews-information/request-building-records/" TargetMode="External" Id="rId295" /><Relationship Type="http://schemas.openxmlformats.org/officeDocument/2006/relationships/hyperlink" Target="https://www.google.com/maps/search/?api=1&amp;query=43.6933986536997,-79.4194832110578" TargetMode="External" Id="rId296" /><Relationship Type="http://schemas.openxmlformats.org/officeDocument/2006/relationships/hyperlink" Target="https://ckan0.cf.opendata.inter.prod-toronto.ca/api/3/action/datastore_search?resource_id=a96c0ba4-3026-402b-b09d-5b1268b8f810&amp;filters=%7B%22PERMIT_NUM%22%3A%5B%2213+265222+BLD%22%2C%2213+265222+DRN%22%2C%2213+265222+HVA%22%2C%2213+265222+PLB%22%5D%7D" TargetMode="External" Id="rId297" /><Relationship Type="http://schemas.openxmlformats.org/officeDocument/2006/relationships/hyperlink" Target="https://www.toronto.ca/services-payments/building-construction/building-permit/before-you-apply-for-a-building-permit/preliminary-zoning-reviews-information/request-building-records/" TargetMode="External" Id="rId298" /><Relationship Type="http://schemas.openxmlformats.org/officeDocument/2006/relationships/hyperlink" Target="https://www.google.com/maps/search/?api=1&amp;query=43.6933986536997,-79.4194832110578" TargetMode="External" Id="rId299" /><Relationship Type="http://schemas.openxmlformats.org/officeDocument/2006/relationships/hyperlink" Target="https://ckan0.cf.opendata.inter.prod-toronto.ca/api/3/action/datastore_search?resource_id=a96c0ba4-3026-402b-b09d-5b1268b8f810&amp;filters=%7B%22PERMIT_NUM%22%3A%2219+238191+BLD%22%7D" TargetMode="External" Id="rId300" /><Relationship Type="http://schemas.openxmlformats.org/officeDocument/2006/relationships/hyperlink" Target="https://www.toronto.ca/services-payments/building-construction/building-permit/before-you-apply-for-a-building-permit/preliminary-zoning-reviews-information/request-building-records/" TargetMode="External" Id="rId301" /><Relationship Type="http://schemas.openxmlformats.org/officeDocument/2006/relationships/hyperlink" Target="https://www.google.com/maps/search/?api=1&amp;query=43.6959695424048,-79.4167605138973" TargetMode="External" Id="rId302" /><Relationship Type="http://schemas.openxmlformats.org/officeDocument/2006/relationships/hyperlink" Target="https://ckan0.cf.opendata.inter.prod-toronto.ca/api/3/action/datastore_search?resource_id=a96c0ba4-3026-402b-b09d-5b1268b8f810&amp;filters=%7B%22PERMIT_NUM%22%3A%2210+123277+BLD%22%7D" TargetMode="External" Id="rId303" /><Relationship Type="http://schemas.openxmlformats.org/officeDocument/2006/relationships/hyperlink" Target="https://www.toronto.ca/services-payments/building-construction/building-permit/before-you-apply-for-a-building-permit/preliminary-zoning-reviews-information/request-building-records/" TargetMode="External" Id="rId304" /><Relationship Type="http://schemas.openxmlformats.org/officeDocument/2006/relationships/hyperlink" Target="https://www.google.com/maps/search/?api=1&amp;query=43.6959695424048,-79.4167605138973" TargetMode="External" Id="rId305" /><Relationship Type="http://schemas.openxmlformats.org/officeDocument/2006/relationships/hyperlink" Target="https://ckan0.cf.opendata.inter.prod-toronto.ca/api/3/action/datastore_search?resource_id=a96c0ba4-3026-402b-b09d-5b1268b8f810&amp;filters=%7B%22PERMIT_NUM%22%3A%2211+217161+BLD%22%7D" TargetMode="External" Id="rId306" /><Relationship Type="http://schemas.openxmlformats.org/officeDocument/2006/relationships/hyperlink" Target="https://www.toronto.ca/services-payments/building-construction/building-permit/before-you-apply-for-a-building-permit/preliminary-zoning-reviews-information/request-building-records/" TargetMode="External" Id="rId307" /><Relationship Type="http://schemas.openxmlformats.org/officeDocument/2006/relationships/hyperlink" Target="https://www.google.com/maps/search/?api=1&amp;query=43.6945588154945,-79.4161328166541" TargetMode="External" Id="rId308" /><Relationship Type="http://schemas.openxmlformats.org/officeDocument/2006/relationships/hyperlink" Target="https://ckan0.cf.opendata.inter.prod-toronto.ca/api/3/action/datastore_search?resource_id=a96c0ba4-3026-402b-b09d-5b1268b8f810&amp;filters=%7B%22PERMIT_NUM%22%3A%5B%2217+198396+BLD%22%2C%2217+198396+DRN%22%2C%2217+198396+HVA%22%2C%2217+198396+PLB%22%5D%7D" TargetMode="External" Id="rId309" /><Relationship Type="http://schemas.openxmlformats.org/officeDocument/2006/relationships/hyperlink" Target="https://www.toronto.ca/services-payments/building-construction/building-permit/before-you-apply-for-a-building-permit/preliminary-zoning-reviews-information/request-building-records/" TargetMode="External" Id="rId310" /><Relationship Type="http://schemas.openxmlformats.org/officeDocument/2006/relationships/hyperlink" Target="https://www.google.com/maps/search/?api=1&amp;query=43.6959695424048,-79.4167605138973" TargetMode="External" Id="rId311" /><Relationship Type="http://schemas.openxmlformats.org/officeDocument/2006/relationships/hyperlink" Target="https://ckan0.cf.opendata.inter.prod-toronto.ca/api/3/action/datastore_search?resource_id=a96c0ba4-3026-402b-b09d-5b1268b8f810&amp;filters=%7B%22PERMIT_NUM%22%3A%2220+124270+DRN%22%7D" TargetMode="External" Id="rId312" /><Relationship Type="http://schemas.openxmlformats.org/officeDocument/2006/relationships/hyperlink" Target="https://www.toronto.ca/services-payments/building-construction/building-permit/before-you-apply-for-a-building-permit/preliminary-zoning-reviews-information/request-building-records/" TargetMode="External" Id="rId313" /><Relationship Type="http://schemas.openxmlformats.org/officeDocument/2006/relationships/hyperlink" Target="https://www.google.com/maps/search/?api=1&amp;query=43.6946307421418,-79.4206425215862" TargetMode="External" Id="rId314" /><Relationship Type="http://schemas.openxmlformats.org/officeDocument/2006/relationships/hyperlink" Target="https://ckan0.cf.opendata.inter.prod-toronto.ca/api/3/action/datastore_search?resource_id=a96c0ba4-3026-402b-b09d-5b1268b8f810&amp;filters=%7B%22PERMIT_NUM%22%3A%5B%2223+107423+BLD%22%2C%2223+107423+DRN%22%2C%2223+107423+HVA%22%2C%2223+107423+PLB%22%5D%7D" TargetMode="External" Id="rId315" /><Relationship Type="http://schemas.openxmlformats.org/officeDocument/2006/relationships/hyperlink" Target="https://www.toronto.ca/services-payments/building-construction/building-permit/before-you-apply-for-a-building-permit/preliminary-zoning-reviews-information/request-building-records/" TargetMode="External" Id="rId316" /><Relationship Type="http://schemas.openxmlformats.org/officeDocument/2006/relationships/hyperlink" Target="https://www.google.com/maps/search/?api=1&amp;query=43.6946307421418,-79.4206425215862" TargetMode="External" Id="rId317" /><Relationship Type="http://schemas.openxmlformats.org/officeDocument/2006/relationships/hyperlink" Target="https://ckan0.cf.opendata.inter.prod-toronto.ca/api/3/action/datastore_search?resource_id=a96c0ba4-3026-402b-b09d-5b1268b8f810&amp;filters=%7B%22PERMIT_NUM%22%3A%2223+117120+DEM%22%7D" TargetMode="External" Id="rId318" /><Relationship Type="http://schemas.openxmlformats.org/officeDocument/2006/relationships/hyperlink" Target="https://www.toronto.ca/services-payments/building-construction/building-permit/before-you-apply-for-a-building-permit/preliminary-zoning-reviews-information/request-building-records/" TargetMode="External" Id="rId319" /><Relationship Type="http://schemas.openxmlformats.org/officeDocument/2006/relationships/hyperlink" Target="https://www.google.com/maps/search/?api=1&amp;query=43.6964480357025,-79.4187789467313" TargetMode="External" Id="rId320" /><Relationship Type="http://schemas.openxmlformats.org/officeDocument/2006/relationships/hyperlink" Target="https://ckan0.cf.opendata.inter.prod-toronto.ca/api/3/action/datastore_search?resource_id=a96c0ba4-3026-402b-b09d-5b1268b8f810&amp;filters=%7B%22PERMIT_NUM%22%3A%5B%2204+111228+BLD%22%2C%2204+111228+PLB%22%5D%7D" TargetMode="External" Id="rId321" /><Relationship Type="http://schemas.openxmlformats.org/officeDocument/2006/relationships/hyperlink" Target="https://www.toronto.ca/services-payments/building-construction/building-permit/before-you-apply-for-a-building-permit/preliminary-zoning-reviews-information/request-building-records/" TargetMode="External" Id="rId322" /><Relationship Type="http://schemas.openxmlformats.org/officeDocument/2006/relationships/hyperlink" Target="https://www.google.com/maps/search/?api=1&amp;query=43.696238396932,-79.4171501615913" TargetMode="External" Id="rId323" /><Relationship Type="http://schemas.openxmlformats.org/officeDocument/2006/relationships/hyperlink" Target="https://ckan0.cf.opendata.inter.prod-toronto.ca/api/3/action/datastore_search?resource_id=a96c0ba4-3026-402b-b09d-5b1268b8f810&amp;filters=%7B%22PERMIT_NUM%22%3A%5B%2215+117896+BLD%22%2C%2215+117896+DRN%22%2C%2215+117896+HVA%22%2C%2215+117896+PLB%22%5D%7D" TargetMode="External" Id="rId324" /><Relationship Type="http://schemas.openxmlformats.org/officeDocument/2006/relationships/hyperlink" Target="https://www.toronto.ca/services-payments/building-construction/building-permit/before-you-apply-for-a-building-permit/preliminary-zoning-reviews-information/request-building-records/" TargetMode="External" Id="rId325" /><Relationship Type="http://schemas.openxmlformats.org/officeDocument/2006/relationships/hyperlink" Target="https://www.google.com/maps/search/?api=1&amp;query=43.696238396932,-79.4171501615913" TargetMode="External" Id="rId326" /><Relationship Type="http://schemas.openxmlformats.org/officeDocument/2006/relationships/hyperlink" Target="https://ckan0.cf.opendata.inter.prod-toronto.ca/api/3/action/datastore_search?resource_id=a96c0ba4-3026-402b-b09d-5b1268b8f810&amp;filters=%7B%22PERMIT_NUM%22%3A%2215+117903+DEM%22%7D" TargetMode="External" Id="rId327" /><Relationship Type="http://schemas.openxmlformats.org/officeDocument/2006/relationships/hyperlink" Target="https://www.toronto.ca/services-payments/building-construction/building-permit/before-you-apply-for-a-building-permit/preliminary-zoning-reviews-information/request-building-records/" TargetMode="External" Id="rId328" /><Relationship Type="http://schemas.openxmlformats.org/officeDocument/2006/relationships/hyperlink" Target="https://www.google.com/maps/search/?api=1&amp;query=43.6964752640255,-79.4180592479264" TargetMode="External" Id="rId329" /><Relationship Type="http://schemas.openxmlformats.org/officeDocument/2006/relationships/hyperlink" Target="https://ckan0.cf.opendata.inter.prod-toronto.ca/api/3/action/datastore_search?resource_id=a96c0ba4-3026-402b-b09d-5b1268b8f810&amp;filters=%7B%22PERMIT_NUM%22%3A%2218+135272+BLD%22%7D" TargetMode="External" Id="rId330" /><Relationship Type="http://schemas.openxmlformats.org/officeDocument/2006/relationships/hyperlink" Target="https://www.toronto.ca/services-payments/building-construction/building-permit/before-you-apply-for-a-building-permit/preliminary-zoning-reviews-information/request-building-records/" TargetMode="External" Id="rId331" /><Relationship Type="http://schemas.openxmlformats.org/officeDocument/2006/relationships/hyperlink" Target="https://www.google.com/maps/search/?api=1&amp;query=43.6964752640255,-79.4180592479264" TargetMode="External" Id="rId332" /><Relationship Type="http://schemas.openxmlformats.org/officeDocument/2006/relationships/hyperlink" Target="https://ckan0.cf.opendata.inter.prod-toronto.ca/api/3/action/datastore_search?resource_id=a96c0ba4-3026-402b-b09d-5b1268b8f810&amp;filters=%7B%22PERMIT_NUM%22%3A%2218+160811+DEM%22%7D" TargetMode="External" Id="rId333" /><Relationship Type="http://schemas.openxmlformats.org/officeDocument/2006/relationships/hyperlink" Target="https://www.toronto.ca/services-payments/building-construction/building-permit/before-you-apply-for-a-building-permit/preliminary-zoning-reviews-information/request-building-records/" TargetMode="External" Id="rId334" /><Relationship Type="http://schemas.openxmlformats.org/officeDocument/2006/relationships/hyperlink" Target="https://www.google.com/maps/search/?api=1&amp;query=43.6964752640255,-79.4180592479264" TargetMode="External" Id="rId335" /><Relationship Type="http://schemas.openxmlformats.org/officeDocument/2006/relationships/hyperlink" Target="https://ckan0.cf.opendata.inter.prod-toronto.ca/api/3/action/datastore_search?resource_id=a96c0ba4-3026-402b-b09d-5b1268b8f810&amp;filters=%7B%22PERMIT_NUM%22%3A%5B%2218+160822+BLD%22%2C%2218+160822+DRN%22%2C%2218+160822+HVA%22%2C%2218+160822+PLB%22%5D%7D" TargetMode="External" Id="rId336" /><Relationship Type="http://schemas.openxmlformats.org/officeDocument/2006/relationships/hyperlink" Target="https://www.toronto.ca/services-payments/building-construction/building-permit/before-you-apply-for-a-building-permit/preliminary-zoning-reviews-information/request-building-records/" TargetMode="External" Id="rId337" /><Relationship Type="http://schemas.openxmlformats.org/officeDocument/2006/relationships/hyperlink" Target="https://www.google.com/maps/search/?api=1&amp;query=43.6934609864745,-79.4169279585007" TargetMode="External" Id="rId338" /><Relationship Type="http://schemas.openxmlformats.org/officeDocument/2006/relationships/hyperlink" Target="https://ckan0.cf.opendata.inter.prod-toronto.ca/api/3/action/datastore_search?resource_id=a96c0ba4-3026-402b-b09d-5b1268b8f810&amp;filters=%7B%22PERMIT_NUM%22%3A%2205+120279+BLD%22%7D" TargetMode="External" Id="rId339" /><Relationship Type="http://schemas.openxmlformats.org/officeDocument/2006/relationships/hyperlink" Target="https://www.toronto.ca/services-payments/building-construction/building-permit/before-you-apply-for-a-building-permit/preliminary-zoning-reviews-information/request-building-records/" TargetMode="External" Id="rId340" /><Relationship Type="http://schemas.openxmlformats.org/officeDocument/2006/relationships/hyperlink" Target="https://www.google.com/maps/search/?api=1&amp;query=43.693096040553,-79.4181542715808" TargetMode="External" Id="rId341" /><Relationship Type="http://schemas.openxmlformats.org/officeDocument/2006/relationships/hyperlink" Target="https://ckan0.cf.opendata.inter.prod-toronto.ca/api/3/action/datastore_search?resource_id=6d0229af-bc54-46de-9c2b-26759b01dd05&amp;filters=%7B%22PERMIT_NUM%22%3A%2204+121866+BLD%22%7D" TargetMode="External" Id="rId342" /><Relationship Type="http://schemas.openxmlformats.org/officeDocument/2006/relationships/hyperlink" Target="https://www.toronto.ca/services-payments/building-construction/building-permit/before-you-apply-for-a-building-permit/preliminary-zoning-reviews-information/request-building-records/" TargetMode="External" Id="rId343" /><Relationship Type="http://schemas.openxmlformats.org/officeDocument/2006/relationships/hyperlink" Target="https://www.google.com/maps/search/?api=1&amp;query=43.6961188427419,-79.4199559730485" TargetMode="External" Id="rId344" /><Relationship Type="http://schemas.openxmlformats.org/officeDocument/2006/relationships/hyperlink" Target="https://ckan0.cf.opendata.inter.prod-toronto.ca/api/3/action/datastore_search?resource_id=a96c0ba4-3026-402b-b09d-5b1268b8f810&amp;filters=%7B%22PERMIT_NUM%22%3A%5B%2210+259233+BLD%22%2C%2210+259233+HVA%22%5D%7D" TargetMode="External" Id="rId345" /><Relationship Type="http://schemas.openxmlformats.org/officeDocument/2006/relationships/hyperlink" Target="https://www.toronto.ca/services-payments/building-construction/building-permit/before-you-apply-for-a-building-permit/preliminary-zoning-reviews-information/request-building-records/" TargetMode="External" Id="rId346" /><Relationship Type="http://schemas.openxmlformats.org/officeDocument/2006/relationships/hyperlink" Target="https://www.google.com/maps/search/?api=1&amp;query=43.6961188427419,-79.4199559730485" TargetMode="External" Id="rId347" /><Relationship Type="http://schemas.openxmlformats.org/officeDocument/2006/relationships/hyperlink" Target="https://ckan0.cf.opendata.inter.prod-toronto.ca/api/3/action/datastore_search?resource_id=a96c0ba4-3026-402b-b09d-5b1268b8f810&amp;filters=%7B%22PERMIT_NUM%22%3A%5B%2210+310149+BLD%22%2C%2210+310149+PLB%22%5D%7D" TargetMode="External" Id="rId348" /><Relationship Type="http://schemas.openxmlformats.org/officeDocument/2006/relationships/hyperlink" Target="https://secure.toronto.ca/ApplicationStatus/setup.do?action=init" TargetMode="External" Id="rId349" /><Relationship Type="http://schemas.openxmlformats.org/officeDocument/2006/relationships/hyperlink" Target="https://www.google.com/maps/search/?api=1&amp;query=43.6949280907922,-79.4207982803013" TargetMode="External" Id="rId350" /><Relationship Type="http://schemas.openxmlformats.org/officeDocument/2006/relationships/hyperlink" Target="https://ckan0.cf.opendata.inter.prod-toronto.ca/api/3/action/datastore_search?resource_id=6d0229af-bc54-46de-9c2b-26759b01dd05&amp;filters=%7B%22PERMIT_NUM%22%3A%5B%2226+152728+BLD%22%2C%2226+152728+DRN%22%2C%2226+152728+HVA%22%2C%2226+152728+PLB%22%5D%7D" TargetMode="External" Id="rId351" /><Relationship Type="http://schemas.openxmlformats.org/officeDocument/2006/relationships/hyperlink" Target="https://www.toronto.ca/services-payments/building-construction/building-permit/before-you-apply-for-a-building-permit/preliminary-zoning-reviews-information/request-building-records/" TargetMode="External" Id="rId352" /><Relationship Type="http://schemas.openxmlformats.org/officeDocument/2006/relationships/hyperlink" Target="https://www.google.com/maps/search/?api=1&amp;query=43.6949280907922,-79.4207982803013" TargetMode="External" Id="rId353" /><Relationship Type="http://schemas.openxmlformats.org/officeDocument/2006/relationships/hyperlink" Target="https://ckan0.cf.opendata.inter.prod-toronto.ca/api/3/action/datastore_search?resource_id=a96c0ba4-3026-402b-b09d-5b1268b8f810&amp;filters=%7B%22PERMIT_NUM%22%3A%2226+152730+DEM%22%7D" TargetMode="External" Id="rId354" /><Relationship Type="http://schemas.openxmlformats.org/officeDocument/2006/relationships/hyperlink" Target="https://www.toronto.ca/services-payments/building-construction/building-permit/before-you-apply-for-a-building-permit/preliminary-zoning-reviews-information/request-building-records/" TargetMode="External" Id="rId355" /><Relationship Type="http://schemas.openxmlformats.org/officeDocument/2006/relationships/hyperlink" Target="https://www.google.com/maps/search/?api=1&amp;query=43.6941262047603,-79.416108732485" TargetMode="External" Id="rId356" /><Relationship Type="http://schemas.openxmlformats.org/officeDocument/2006/relationships/hyperlink" Target="https://ckan0.cf.opendata.inter.prod-toronto.ca/api/3/action/datastore_search?resource_id=a96c0ba4-3026-402b-b09d-5b1268b8f810&amp;filters=%7B%22PERMIT_NUM%22%3A%2214+185096+BLD%22%7D" TargetMode="External" Id="rId357" /><Relationship Type="http://schemas.openxmlformats.org/officeDocument/2006/relationships/hyperlink" Target="https://www.toronto.ca/services-payments/building-construction/building-permit/before-you-apply-for-a-building-permit/preliminary-zoning-reviews-information/request-building-records/" TargetMode="External" Id="rId358" /><Relationship Type="http://schemas.openxmlformats.org/officeDocument/2006/relationships/hyperlink" Target="https://www.google.com/maps/search/?api=1&amp;query=43.6930973163569,-79.4177371525254" TargetMode="External" Id="rId359" /><Relationship Type="http://schemas.openxmlformats.org/officeDocument/2006/relationships/hyperlink" Target="https://ckan0.cf.opendata.inter.prod-toronto.ca/api/3/action/datastore_search?resource_id=a96c0ba4-3026-402b-b09d-5b1268b8f810&amp;filters=%7B%22PERMIT_NUM%22%3A%5B%2215+250985+BLD%22%2C%2215+250985+DRN%22%2C%2215+250985+HVA%22%2C%2215+250985+PLB%22%5D%7D" TargetMode="External" Id="rId360" /><Relationship Type="http://schemas.openxmlformats.org/officeDocument/2006/relationships/hyperlink" Target="https://www.toronto.ca/services-payments/building-construction/building-permit/before-you-apply-for-a-building-permit/preliminary-zoning-reviews-information/request-building-records/" TargetMode="External" Id="rId361" /><Relationship Type="http://schemas.openxmlformats.org/officeDocument/2006/relationships/hyperlink" Target="https://www.google.com/maps/search/?api=1&amp;query=43.6931329749946,-79.4175435306657" TargetMode="External" Id="rId362" /><Relationship Type="http://schemas.openxmlformats.org/officeDocument/2006/relationships/hyperlink" Target="https://ckan0.cf.opendata.inter.prod-toronto.ca/api/3/action/datastore_search?resource_id=a96c0ba4-3026-402b-b09d-5b1268b8f810&amp;filters=%7B%22PERMIT_NUM%22%3A%5B%2213+280838+BLD%22%2C%2213+280838+PLB%22%5D%7D" TargetMode="External" Id="rId363" /><Relationship Type="http://schemas.openxmlformats.org/officeDocument/2006/relationships/hyperlink" Target="https://www.toronto.ca/services-payments/building-construction/building-permit/before-you-apply-for-a-building-permit/preliminary-zoning-reviews-information/request-building-records/" TargetMode="External" Id="rId364" /><Relationship Type="http://schemas.openxmlformats.org/officeDocument/2006/relationships/hyperlink" Target="https://www.google.com/maps/search/?api=1&amp;query=43.6965578328711,-79.4188415483764" TargetMode="External" Id="rId365" /><Relationship Type="http://schemas.openxmlformats.org/officeDocument/2006/relationships/hyperlink" Target="https://ckan0.cf.opendata.inter.prod-toronto.ca/api/3/action/datastore_search?resource_id=a96c0ba4-3026-402b-b09d-5b1268b8f810&amp;filters=%7B%22PERMIT_NUM%22%3A%2225+147051+BLD%22%7D" TargetMode="External" Id="rId366" /><Relationship Type="http://schemas.openxmlformats.org/officeDocument/2006/relationships/hyperlink" Target="https://www.toronto.ca/services-payments/building-construction/building-permit/before-you-apply-for-a-building-permit/preliminary-zoning-reviews-information/request-building-records/" TargetMode="External" Id="rId367" /><Relationship Type="http://schemas.openxmlformats.org/officeDocument/2006/relationships/hyperlink" Target="https://www.google.com/maps/search/?api=1&amp;query=43.6945364615808,-79.4159194707708" TargetMode="External" Id="rId368" /><Relationship Type="http://schemas.openxmlformats.org/officeDocument/2006/relationships/hyperlink" Target="https://ckan0.cf.opendata.inter.prod-toronto.ca/api/3/action/datastore_search?resource_id=a96c0ba4-3026-402b-b09d-5b1268b8f810&amp;filters=%7B%22PERMIT_NUM%22%3A%2216+148653+DRN%22%7D" TargetMode="External" Id="rId369" /><Relationship Type="http://schemas.openxmlformats.org/officeDocument/2006/relationships/hyperlink" Target="https://www.toronto.ca/services-payments/building-construction/building-permit/before-you-apply-for-a-building-permit/preliminary-zoning-reviews-information/request-building-records/" TargetMode="External" Id="rId370" /><Relationship Type="http://schemas.openxmlformats.org/officeDocument/2006/relationships/hyperlink" Target="https://www.google.com/maps/search/?api=1&amp;query=43.6949074056471,-79.4158717239262" TargetMode="External" Id="rId371" /><Relationship Type="http://schemas.openxmlformats.org/officeDocument/2006/relationships/hyperlink" Target="https://ckan0.cf.opendata.inter.prod-toronto.ca/api/3/action/datastore_search?resource_id=a96c0ba4-3026-402b-b09d-5b1268b8f810&amp;filters=%7B%22PERMIT_NUM%22%3A%5B%2216+243198+BLD%22%2C%2216+243198+PLB%22%5D%7D" TargetMode="External" Id="rId372" /><Relationship Type="http://schemas.openxmlformats.org/officeDocument/2006/relationships/hyperlink" Target="https://www.toronto.ca/services-payments/building-construction/building-permit/before-you-apply-for-a-building-permit/preliminary-zoning-reviews-information/request-building-records/" TargetMode="External" Id="rId373" /><Relationship Type="http://schemas.openxmlformats.org/officeDocument/2006/relationships/hyperlink" Target="https://www.google.com/maps/search/?api=1&amp;query=43.6953217524346,-79.4159320819789" TargetMode="External" Id="rId374" /><Relationship Type="http://schemas.openxmlformats.org/officeDocument/2006/relationships/hyperlink" Target="https://ckan0.cf.opendata.inter.prod-toronto.ca/api/3/action/datastore_search?resource_id=a96c0ba4-3026-402b-b09d-5b1268b8f810&amp;filters=%7B%22PERMIT_NUM%22%3A%2219+176550+DEM%22%7D" TargetMode="External" Id="rId375" /><Relationship Type="http://schemas.openxmlformats.org/officeDocument/2006/relationships/hyperlink" Target="https://www.toronto.ca/services-payments/building-construction/building-permit/before-you-apply-for-a-building-permit/preliminary-zoning-reviews-information/request-building-records/" TargetMode="External" Id="rId376" /><Relationship Type="http://schemas.openxmlformats.org/officeDocument/2006/relationships/hyperlink" Target="https://www.google.com/maps/search/?api=1&amp;query=43.6953217524346,-79.4159320819789" TargetMode="External" Id="rId377" /><Relationship Type="http://schemas.openxmlformats.org/officeDocument/2006/relationships/hyperlink" Target="https://ckan0.cf.opendata.inter.prod-toronto.ca/api/3/action/datastore_search?resource_id=a96c0ba4-3026-402b-b09d-5b1268b8f810&amp;filters=%7B%22PERMIT_NUM%22%3A%5B%2219+176553+BLD%22%2C%2219+176553+DRN%22%2C%2219+176553+HVA%22%2C%2219+176553+PLB%22%5D%7D" TargetMode="External" Id="rId378" /><Relationship Type="http://schemas.openxmlformats.org/officeDocument/2006/relationships/hyperlink" Target="https://www.toronto.ca/services-payments/building-construction/building-permit/before-you-apply-for-a-building-permit/preliminary-zoning-reviews-information/request-building-records/" TargetMode="External" Id="rId379" /><Relationship Type="http://schemas.openxmlformats.org/officeDocument/2006/relationships/hyperlink" Target="https://www.google.com/maps/search/?api=1&amp;query=43.69311146018,-79.4193835089425" TargetMode="External" Id="rId380" /><Relationship Type="http://schemas.openxmlformats.org/officeDocument/2006/relationships/hyperlink" Target="https://ckan0.cf.opendata.inter.prod-toronto.ca/api/3/action/datastore_search?resource_id=6d0229af-bc54-46de-9c2b-26759b01dd05&amp;filters=%7B%22PERMIT_NUM%22%3A%2206+146749+BLD%22%7D" TargetMode="External" Id="rId381" /><Relationship Type="http://schemas.openxmlformats.org/officeDocument/2006/relationships/hyperlink" Target="https://www.toronto.ca/services-payments/building-construction/building-permit/before-you-apply-for-a-building-permit/preliminary-zoning-reviews-information/request-building-records/" TargetMode="External" Id="rId382" /><Relationship Type="http://schemas.openxmlformats.org/officeDocument/2006/relationships/hyperlink" Target="https://www.google.com/maps/search/?api=1&amp;query=43.6959865917358,-79.4204012989259" TargetMode="External" Id="rId383" /><Relationship Type="http://schemas.openxmlformats.org/officeDocument/2006/relationships/hyperlink" Target="https://ckan0.cf.opendata.inter.prod-toronto.ca/api/3/action/datastore_search?resource_id=a96c0ba4-3026-402b-b09d-5b1268b8f810&amp;filters=%7B%22PERMIT_NUM%22%3A%5B%2216+142119+BLD%22%2C%2216+142119+DRN%22%2C%2216+142119+HVA%22%2C%2216+142119+PLB%22%5D%7D" TargetMode="External" Id="rId384" /><Relationship Type="http://schemas.openxmlformats.org/officeDocument/2006/relationships/hyperlink" Target="https://www.toronto.ca/services-payments/building-construction/building-permit/before-you-apply-for-a-building-permit/preliminary-zoning-reviews-information/request-building-records/" TargetMode="External" Id="rId385" /><Relationship Type="http://schemas.openxmlformats.org/officeDocument/2006/relationships/hyperlink" Target="https://www.google.com/maps/search/?api=1&amp;query=43.6959865917358,-79.4204012989259" TargetMode="External" Id="rId386" /><Relationship Type="http://schemas.openxmlformats.org/officeDocument/2006/relationships/hyperlink" Target="https://ckan0.cf.opendata.inter.prod-toronto.ca/api/3/action/datastore_search?resource_id=a96c0ba4-3026-402b-b09d-5b1268b8f810&amp;filters=%7B%22PERMIT_NUM%22%3A%2216+142395+DEM%22%7D" TargetMode="External" Id="rId387" /><Relationship Type="http://schemas.openxmlformats.org/officeDocument/2006/relationships/hyperlink" Target="https://www.toronto.ca/services-payments/building-construction/building-permit/before-you-apply-for-a-building-permit/preliminary-zoning-reviews-information/request-building-records/" TargetMode="External" Id="rId388" /><Relationship Type="http://schemas.openxmlformats.org/officeDocument/2006/relationships/hyperlink" Target="https://www.google.com/maps/search/?api=1&amp;query=43.6932899221002,-79.4167865995687" TargetMode="External" Id="rId389" /><Relationship Type="http://schemas.openxmlformats.org/officeDocument/2006/relationships/hyperlink" Target="https://ckan0.cf.opendata.inter.prod-toronto.ca/api/3/action/datastore_search?resource_id=a96c0ba4-3026-402b-b09d-5b1268b8f810&amp;filters=%7B%22PERMIT_NUM%22%3A%2202+120503+BLD%22%7D" TargetMode="External" Id="rId390" /><Relationship Type="http://schemas.openxmlformats.org/officeDocument/2006/relationships/hyperlink" Target="https://www.toronto.ca/services-payments/building-construction/building-permit/before-you-apply-for-a-building-permit/preliminary-zoning-reviews-information/request-building-records/" TargetMode="External" Id="rId391" /><Relationship Type="http://schemas.openxmlformats.org/officeDocument/2006/relationships/hyperlink" Target="https://www.google.com/maps/search/?api=1&amp;query=43.6952556131687,-79.4209173542156" TargetMode="External" Id="rId392" /><Relationship Type="http://schemas.openxmlformats.org/officeDocument/2006/relationships/hyperlink" Target="https://ckan0.cf.opendata.inter.prod-toronto.ca/api/3/action/datastore_search?resource_id=a96c0ba4-3026-402b-b09d-5b1268b8f810&amp;filters=%7B%22PERMIT_NUM%22%3A%2207+256196+BLD%22%7D" TargetMode="External" Id="rId393" /><Relationship Type="http://schemas.openxmlformats.org/officeDocument/2006/relationships/hyperlink" Target="https://www.toronto.ca/services-payments/building-construction/building-permit/before-you-apply-for-a-building-permit/preliminary-zoning-reviews-information/request-building-records/" TargetMode="External" Id="rId394" /><Relationship Type="http://schemas.openxmlformats.org/officeDocument/2006/relationships/hyperlink" Target="https://www.google.com/maps/search/?api=1&amp;query=43.6952556131687,-79.4209173542156" TargetMode="External" Id="rId395" /><Relationship Type="http://schemas.openxmlformats.org/officeDocument/2006/relationships/hyperlink" Target="https://ckan0.cf.opendata.inter.prod-toronto.ca/api/3/action/datastore_search?resource_id=6d0229af-bc54-46de-9c2b-26759b01dd05&amp;filters=%7B%22PERMIT_NUM%22%3A%2207+279568+BLD%22%7D" TargetMode="External" Id="rId396" /><Relationship Type="http://schemas.openxmlformats.org/officeDocument/2006/relationships/hyperlink" Target="https://www.toronto.ca/services-payments/building-construction/building-permit/before-you-apply-for-a-building-permit/preliminary-zoning-reviews-information/request-building-records/" TargetMode="External" Id="rId397" /><Relationship Type="http://schemas.openxmlformats.org/officeDocument/2006/relationships/hyperlink" Target="https://www.google.com/maps/search/?api=1&amp;query=43.6960581816599,-79.4163953832674" TargetMode="External" Id="rId398" /><Relationship Type="http://schemas.openxmlformats.org/officeDocument/2006/relationships/hyperlink" Target="https://ckan0.cf.opendata.inter.prod-toronto.ca/api/3/action/datastore_search?resource_id=a96c0ba4-3026-402b-b09d-5b1268b8f810&amp;filters=%7B%22PERMIT_NUM%22%3A%2214+203607+STS%22%7D" TargetMode="External" Id="rId399" /><Relationship Type="http://schemas.openxmlformats.org/officeDocument/2006/relationships/hyperlink" Target="https://www.toronto.ca/services-payments/building-construction/building-permit/before-you-apply-for-a-building-permit/preliminary-zoning-reviews-information/request-building-records/" TargetMode="External" Id="rId400" /><Relationship Type="http://schemas.openxmlformats.org/officeDocument/2006/relationships/hyperlink" Target="https://www.google.com/maps/search/?api=1&amp;query=43.6963181172974,-79.4167481467663" TargetMode="External" Id="rId401" /><Relationship Type="http://schemas.openxmlformats.org/officeDocument/2006/relationships/hyperlink" Target="https://ckan0.cf.opendata.inter.prod-toronto.ca/api/3/action/datastore_search?resource_id=a96c0ba4-3026-402b-b09d-5b1268b8f810&amp;filters=%7B%22PERMIT_NUM%22%3A%5B%2209+111060+BLD%22%2C%2209+111060+HVA%22%2C%2209+111060+PLB%22%5D%7D" TargetMode="External" Id="rId402" /><Relationship Type="http://schemas.openxmlformats.org/officeDocument/2006/relationships/hyperlink" Target="https://www.toronto.ca/services-payments/building-construction/building-permit/before-you-apply-for-a-building-permit/preliminary-zoning-reviews-information/request-building-records/" TargetMode="External" Id="rId403" /><Relationship Type="http://schemas.openxmlformats.org/officeDocument/2006/relationships/hyperlink" Target="https://www.google.com/maps/search/?api=1&amp;query=43.6963181172974,-79.4167481467663" TargetMode="External" Id="rId404" /><Relationship Type="http://schemas.openxmlformats.org/officeDocument/2006/relationships/hyperlink" Target="https://ckan0.cf.opendata.inter.prod-toronto.ca/api/3/action/datastore_search?resource_id=a96c0ba4-3026-402b-b09d-5b1268b8f810&amp;filters=%7B%22PERMIT_NUM%22%3A%5B%2209+130298+BLD%22%2C%2209+130298+HVA%22%2C%2209+130298+PLB%22%5D%7D" TargetMode="External" Id="rId405" /><Relationship Type="http://schemas.openxmlformats.org/officeDocument/2006/relationships/hyperlink" Target="https://www.toronto.ca/services-payments/building-construction/building-permit/before-you-apply-for-a-building-permit/preliminary-zoning-reviews-information/request-building-records/" TargetMode="External" Id="rId406" /><Relationship Type="http://schemas.openxmlformats.org/officeDocument/2006/relationships/hyperlink" Target="https://www.google.com/maps/search/?api=1&amp;query=43.6929176909136,-79.418788078018" TargetMode="External" Id="rId407" /><Relationship Type="http://schemas.openxmlformats.org/officeDocument/2006/relationships/hyperlink" Target="https://ckan0.cf.opendata.inter.prod-toronto.ca/api/3/action/datastore_search?resource_id=a96c0ba4-3026-402b-b09d-5b1268b8f810&amp;filters=%7B%22PERMIT_NUM%22%3A%5B%2214+120159+BLD%22%2C%2214+120159+DRN%22%2C%2214+120159+HVA%22%2C%2214+120159+PLB%22%5D%7D" TargetMode="External" Id="rId408" /><Relationship Type="http://schemas.openxmlformats.org/officeDocument/2006/relationships/hyperlink" Target="https://www.toronto.ca/services-payments/building-construction/building-permit/before-you-apply-for-a-building-permit/preliminary-zoning-reviews-information/request-building-records/" TargetMode="External" Id="rId409" /><Relationship Type="http://schemas.openxmlformats.org/officeDocument/2006/relationships/hyperlink" Target="https://www.google.com/maps/search/?api=1&amp;query=43.6929176909136,-79.418788078018" TargetMode="External" Id="rId410" /><Relationship Type="http://schemas.openxmlformats.org/officeDocument/2006/relationships/hyperlink" Target="https://ckan0.cf.opendata.inter.prod-toronto.ca/api/3/action/datastore_search?resource_id=a96c0ba4-3026-402b-b09d-5b1268b8f810&amp;filters=%7B%22PERMIT_NUM%22%3A%2214+120165+DEM%22%7D" TargetMode="External" Id="rId411" /><Relationship Type="http://schemas.openxmlformats.org/officeDocument/2006/relationships/hyperlink" Target="https://www.toronto.ca/services-payments/building-construction/building-permit/before-you-apply-for-a-building-permit/preliminary-zoning-reviews-information/request-building-records/" TargetMode="External" Id="rId412" /><Relationship Type="http://schemas.openxmlformats.org/officeDocument/2006/relationships/hyperlink" Target="https://www.google.com/maps/search/?api=1&amp;query=43.6929176909136,-79.418788078018" TargetMode="External" Id="rId413" /><Relationship Type="http://schemas.openxmlformats.org/officeDocument/2006/relationships/hyperlink" Target="https://ckan0.cf.opendata.inter.prod-toronto.ca/api/3/action/datastore_search?resource_id=a96c0ba4-3026-402b-b09d-5b1268b8f810&amp;filters=%7B%22PERMIT_NUM%22%3A%2299+013425+BLD%22%7D" TargetMode="External" Id="rId414" /><Relationship Type="http://schemas.openxmlformats.org/officeDocument/2006/relationships/hyperlink" Target="https://www.toronto.ca/services-payments/building-construction/building-permit/before-you-apply-for-a-building-permit/preliminary-zoning-reviews-information/request-building-records/" TargetMode="External" Id="rId415" /><Relationship Type="http://schemas.openxmlformats.org/officeDocument/2006/relationships/hyperlink" Target="https://www.google.com/maps/search/?api=1&amp;query=43.6929176909136,-79.418788078018" TargetMode="External" Id="rId416" /><Relationship Type="http://schemas.openxmlformats.org/officeDocument/2006/relationships/hyperlink" Target="https://ckan0.cf.opendata.inter.prod-toronto.ca/api/3/action/datastore_search?resource_id=a96c0ba4-3026-402b-b09d-5b1268b8f810&amp;filters=%7B%22PERMIT_NUM%22%3A%2299+020420+BLD%22%7D" TargetMode="External" Id="rId417" /><Relationship Type="http://schemas.openxmlformats.org/officeDocument/2006/relationships/hyperlink" Target="https://secure.toronto.ca/ApplicationStatus/setup.do?action=init" TargetMode="External" Id="rId418" /><Relationship Type="http://schemas.openxmlformats.org/officeDocument/2006/relationships/hyperlink" Target="https://www.google.com/maps/search/?api=1&amp;query=43.693460195543,-79.420266543389" TargetMode="External" Id="rId419" /><Relationship Type="http://schemas.openxmlformats.org/officeDocument/2006/relationships/hyperlink" Target="https://ckan0.cf.opendata.inter.prod-toronto.ca/api/3/action/datastore_search?resource_id=6d0229af-bc54-46de-9c2b-26759b01dd05&amp;filters=%7B%22PERMIT_NUM%22%3A%5B%2220+108665+BLD%22%2C%2220+108665+DRN%22%2C%2220+108665+PLB%22%5D%7D" TargetMode="External" Id="rId420" /><Relationship Type="http://schemas.openxmlformats.org/officeDocument/2006/relationships/hyperlink" Target="https://www.toronto.ca/services-payments/building-construction/building-permit/before-you-apply-for-a-building-permit/preliminary-zoning-reviews-information/request-building-records/" TargetMode="External" Id="rId421" /><Relationship Type="http://schemas.openxmlformats.org/officeDocument/2006/relationships/hyperlink" Target="https://www.google.com/maps/search/?api=1&amp;query=43.6949283738843,-79.4156942059423" TargetMode="External" Id="rId422" /><Relationship Type="http://schemas.openxmlformats.org/officeDocument/2006/relationships/hyperlink" Target="https://ckan0.cf.opendata.inter.prod-toronto.ca/api/3/action/datastore_search?resource_id=a96c0ba4-3026-402b-b09d-5b1268b8f810&amp;filters=%7B%22PERMIT_NUM%22%3A%5B%2214+264303+BLD%22%2C%2214+264303+HVA%22%2C%2214+264303+PLB%22%5D%7D" TargetMode="External" Id="rId423" /><Relationship Type="http://schemas.openxmlformats.org/officeDocument/2006/relationships/hyperlink" Target="https://secure.toronto.ca/ApplicationStatus/setup.do?action=init" TargetMode="External" Id="rId424" /><Relationship Type="http://schemas.openxmlformats.org/officeDocument/2006/relationships/hyperlink" Target="https://www.google.com/maps/search/?api=1&amp;query=43.6949283738843,-79.4156942059423" TargetMode="External" Id="rId425" /><Relationship Type="http://schemas.openxmlformats.org/officeDocument/2006/relationships/hyperlink" Target="https://ckan0.cf.opendata.inter.prod-toronto.ca/api/3/action/datastore_search?resource_id=6d0229af-bc54-46de-9c2b-26759b01dd05&amp;filters=%7B%22PERMIT_NUM%22%3A%2224+201726+BLD%22%7D" TargetMode="External" Id="rId426" /><Relationship Type="http://schemas.openxmlformats.org/officeDocument/2006/relationships/hyperlink" Target="https://www.toronto.ca/services-payments/building-construction/building-permit/before-you-apply-for-a-building-permit/preliminary-zoning-reviews-information/request-building-records/" TargetMode="External" Id="rId427" /><Relationship Type="http://schemas.openxmlformats.org/officeDocument/2006/relationships/hyperlink" Target="https://www.google.com/maps/search/?api=1&amp;query=43.6967179659153,-79.4189305322003" TargetMode="External" Id="rId428" /><Relationship Type="http://schemas.openxmlformats.org/officeDocument/2006/relationships/hyperlink" Target="https://ckan0.cf.opendata.inter.prod-toronto.ca/api/3/action/datastore_search?resource_id=a96c0ba4-3026-402b-b09d-5b1268b8f810&amp;filters=%7B%22PERMIT_NUM%22%3A%5B%2215+188020+BLD%22%2C%2215+188020+DEM%22%2C%2215+188020+DRN%22%2C%2215+188020+HVA%22%2C%2215+188020+PLB%22%5D%7D" TargetMode="External" Id="rId429" /><Relationship Type="http://schemas.openxmlformats.org/officeDocument/2006/relationships/hyperlink" Target="https://www.toronto.ca/services-payments/building-construction/building-permit/before-you-apply-for-a-building-permit/preliminary-zoning-reviews-information/request-building-records/" TargetMode="External" Id="rId430" /><Relationship Type="http://schemas.openxmlformats.org/officeDocument/2006/relationships/hyperlink" Target="https://www.google.com/maps/search/?api=1&amp;query=43.6953606494302,-79.4209697175766" TargetMode="External" Id="rId431" /><Relationship Type="http://schemas.openxmlformats.org/officeDocument/2006/relationships/hyperlink" Target="https://ckan0.cf.opendata.inter.prod-toronto.ca/api/3/action/datastore_search?resource_id=a96c0ba4-3026-402b-b09d-5b1268b8f810&amp;filters=%7B%22PERMIT_NUM%22%3A%2212+136426+BLD%22%7D" TargetMode="External" Id="rId432" /><Relationship Type="http://schemas.openxmlformats.org/officeDocument/2006/relationships/hyperlink" Target="https://secure.toronto.ca/ApplicationStatus/setup.do?action=init" TargetMode="External" Id="rId433" /><Relationship Type="http://schemas.openxmlformats.org/officeDocument/2006/relationships/hyperlink" Target="https://www.google.com/maps/search/?api=1&amp;query=43.693293206151,-79.4165993853573" TargetMode="External" Id="rId434" /><Relationship Type="http://schemas.openxmlformats.org/officeDocument/2006/relationships/hyperlink" Target="https://ckan0.cf.opendata.inter.prod-toronto.ca/api/3/action/datastore_search?resource_id=6d0229af-bc54-46de-9c2b-26759b01dd05&amp;filters=%7B%22PERMIT_NUM%22%3A%5B%2217+162496+BLD%22%2C%2217+162496+DRN%22%2C%2217+162496+HVA%22%2C%2217+162496+PLB%22%5D%7D" TargetMode="External" Id="rId435" /><Relationship Type="http://schemas.openxmlformats.org/officeDocument/2006/relationships/hyperlink" Target="https://www.toronto.ca/services-payments/building-construction/building-permit/before-you-apply-for-a-building-permit/preliminary-zoning-reviews-information/request-building-records/" TargetMode="External" Id="rId436" /><Relationship Type="http://schemas.openxmlformats.org/officeDocument/2006/relationships/hyperlink" Target="https://www.google.com/maps/search/?api=1&amp;query=43.693293206151,-79.4165993853573" TargetMode="External" Id="rId437" /><Relationship Type="http://schemas.openxmlformats.org/officeDocument/2006/relationships/hyperlink" Target="https://ckan0.cf.opendata.inter.prod-toronto.ca/api/3/action/datastore_search?resource_id=a96c0ba4-3026-402b-b09d-5b1268b8f810&amp;filters=%7B%22PERMIT_NUM%22%3A%2217+162616+DEM%22%7D" TargetMode="External" Id="rId438" /><Relationship Type="http://schemas.openxmlformats.org/officeDocument/2006/relationships/hyperlink" Target="https://secure.toronto.ca/ApplicationStatus/setup.do?action=init" TargetMode="External" Id="rId439" /><Relationship Type="http://schemas.openxmlformats.org/officeDocument/2006/relationships/hyperlink" Target="https://www.google.com/maps/search/?api=1&amp;query=43.693293206151,-79.4165993853573" TargetMode="External" Id="rId440" /><Relationship Type="http://schemas.openxmlformats.org/officeDocument/2006/relationships/hyperlink" Target="https://ckan0.cf.opendata.inter.prod-toronto.ca/api/3/action/datastore_search?resource_id=a96c0ba4-3026-402b-b09d-5b1268b8f810&amp;filters=%7B%22PERMIT_NUM%22%3A%2217+214334+ALT%22%7D" TargetMode="External" Id="rId441" /><Relationship Type="http://schemas.openxmlformats.org/officeDocument/2006/relationships/hyperlink" Target="https://secure.toronto.ca/ApplicationStatus/setup.do?action=init" TargetMode="External" Id="rId442" /><Relationship Type="http://schemas.openxmlformats.org/officeDocument/2006/relationships/hyperlink" Target="https://www.google.com/maps/search/?api=1&amp;query=43.693293206151,-79.4165993853573" TargetMode="External" Id="rId443" /><Relationship Type="http://schemas.openxmlformats.org/officeDocument/2006/relationships/hyperlink" Target="https://ckan0.cf.opendata.inter.prod-toronto.ca/api/3/action/datastore_search?resource_id=6d0229af-bc54-46de-9c2b-26759b01dd05&amp;filters=%7B%22PERMIT_NUM%22%3A%2217+264150+STS%22%7D" TargetMode="External" Id="rId444" /><Relationship Type="http://schemas.openxmlformats.org/officeDocument/2006/relationships/hyperlink" Target="https://www.toronto.ca/services-payments/building-construction/building-permit/before-you-apply-for-a-building-permit/preliminary-zoning-reviews-information/request-building-records/" TargetMode="External" Id="rId445" /><Relationship Type="http://schemas.openxmlformats.org/officeDocument/2006/relationships/hyperlink" Target="https://www.google.com/maps/search/?api=1&amp;query=43.693293206151,-79.4165993853573" TargetMode="External" Id="rId446" /><Relationship Type="http://schemas.openxmlformats.org/officeDocument/2006/relationships/hyperlink" Target="https://ckan0.cf.opendata.inter.prod-toronto.ca/api/3/action/datastore_search?resource_id=a96c0ba4-3026-402b-b09d-5b1268b8f810&amp;filters=%7B%22PERMIT_NUM%22%3A%2218+263690+BLD%22%7D" TargetMode="External" Id="rId447" /><Relationship Type="http://schemas.openxmlformats.org/officeDocument/2006/relationships/hyperlink" Target="https://www.toronto.ca/services-payments/building-construction/building-permit/before-you-apply-for-a-building-permit/preliminary-zoning-reviews-information/request-building-records/" TargetMode="External" Id="rId448" /><Relationship Type="http://schemas.openxmlformats.org/officeDocument/2006/relationships/hyperlink" Target="https://www.google.com/maps/search/?api=1&amp;query=43.6928619606519,-79.4189610582442" TargetMode="External" Id="rId449" /><Relationship Type="http://schemas.openxmlformats.org/officeDocument/2006/relationships/hyperlink" Target="https://ckan0.cf.opendata.inter.prod-toronto.ca/api/3/action/datastore_search?resource_id=a96c0ba4-3026-402b-b09d-5b1268b8f810&amp;filters=%7B%22PERMIT_NUM%22%3A%5B%2211+291658+BLD%22%2C%2211+291658+HVA%22%5D%7D" TargetMode="External" Id="rId450" /><Relationship Type="http://schemas.openxmlformats.org/officeDocument/2006/relationships/hyperlink" Target="https://www.toronto.ca/services-payments/building-construction/building-permit/before-you-apply-for-a-building-permit/preliminary-zoning-reviews-information/request-building-records/" TargetMode="External" Id="rId451" /><Relationship Type="http://schemas.openxmlformats.org/officeDocument/2006/relationships/hyperlink" Target="https://www.google.com/maps/search/?api=1&amp;query=43.6928619606519,-79.4189610582442" TargetMode="External" Id="rId452" /><Relationship Type="http://schemas.openxmlformats.org/officeDocument/2006/relationships/hyperlink" Target="https://ckan0.cf.opendata.inter.prod-toronto.ca/api/3/action/datastore_search?resource_id=a96c0ba4-3026-402b-b09d-5b1268b8f810&amp;filters=%7B%22PERMIT_NUM%22%3A%5B%2217+117495+BLD%22%2C%2217+117495+PLB%22%5D%7D" TargetMode="External" Id="rId453" /><Relationship Type="http://schemas.openxmlformats.org/officeDocument/2006/relationships/hyperlink" Target="https://www.toronto.ca/services-payments/building-construction/building-permit/before-you-apply-for-a-building-permit/preliminary-zoning-reviews-information/request-building-records/" TargetMode="External" Id="rId454" /><Relationship Type="http://schemas.openxmlformats.org/officeDocument/2006/relationships/hyperlink" Target="https://www.google.com/maps/search/?api=1&amp;query=43.6953800765142,-79.4157184716032" TargetMode="External" Id="rId455" /><Relationship Type="http://schemas.openxmlformats.org/officeDocument/2006/relationships/hyperlink" Target="https://ckan0.cf.opendata.inter.prod-toronto.ca/api/3/action/datastore_search?resource_id=a96c0ba4-3026-402b-b09d-5b1268b8f810&amp;filters=%7B%22PERMIT_NUM%22%3A%5B%2225+145872+BLD%22%2C%2225+145872+DRN%22%2C%2225+145872+HVA%22%2C%2225+145872+PLB%22%5D%7D" TargetMode="External" Id="rId456" /><Relationship Type="http://schemas.openxmlformats.org/officeDocument/2006/relationships/hyperlink" Target="https://www.toronto.ca/services-payments/building-construction/building-permit/before-you-apply-for-a-building-permit/preliminary-zoning-reviews-information/request-building-records/" TargetMode="External" Id="rId457" /><Relationship Type="http://schemas.openxmlformats.org/officeDocument/2006/relationships/hyperlink" Target="https://www.google.com/maps/search/?api=1&amp;query=43.6954483523078,-79.4209875288213" TargetMode="External" Id="rId458" /><Relationship Type="http://schemas.openxmlformats.org/officeDocument/2006/relationships/hyperlink" Target="https://ckan0.cf.opendata.inter.prod-toronto.ca/api/3/action/datastore_search?resource_id=6d0229af-bc54-46de-9c2b-26759b01dd05&amp;filters=%7B%22PERMIT_NUM%22%3A%2297+012639+BLD%22%7D" TargetMode="External" Id="rId459" /><Relationship Type="http://schemas.openxmlformats.org/officeDocument/2006/relationships/hyperlink" Target="https://www.toronto.ca/services-payments/building-construction/building-permit/before-you-apply-for-a-building-permit/preliminary-zoning-reviews-information/request-building-records/" TargetMode="External" Id="rId460" /><Relationship Type="http://schemas.openxmlformats.org/officeDocument/2006/relationships/hyperlink" Target="https://www.google.com/maps/search/?api=1&amp;query=43.6954483523078,-79.4209875288213" TargetMode="External" Id="rId461" /><Relationship Type="http://schemas.openxmlformats.org/officeDocument/2006/relationships/hyperlink" Target="https://ckan0.cf.opendata.inter.prod-toronto.ca/api/3/action/datastore_search?resource_id=6d0229af-bc54-46de-9c2b-26759b01dd05&amp;filters=%7B%22PERMIT_NUM%22%3A%2297+014782+BLD%22%7D" TargetMode="External" Id="rId462" /><Relationship Type="http://schemas.openxmlformats.org/officeDocument/2006/relationships/hyperlink" Target="https://www.toronto.ca/services-payments/building-construction/building-permit/before-you-apply-for-a-building-permit/preliminary-zoning-reviews-information/request-building-records/" TargetMode="External" Id="rId463" /><Relationship Type="http://schemas.openxmlformats.org/officeDocument/2006/relationships/hyperlink" Target="https://www.google.com/maps/search/?api=1&amp;query=43.6963383080136,-79.4165764320174" TargetMode="External" Id="rId464" /><Relationship Type="http://schemas.openxmlformats.org/officeDocument/2006/relationships/hyperlink" Target="https://ckan0.cf.opendata.inter.prod-toronto.ca/api/3/action/datastore_search?resource_id=a96c0ba4-3026-402b-b09d-5b1268b8f810&amp;filters=%7B%22PERMIT_NUM%22%3A%2211+105901+BLD%22%7D" TargetMode="External" Id="rId465" /><Relationship Type="http://schemas.openxmlformats.org/officeDocument/2006/relationships/hyperlink" Target="https://www.toronto.ca/services-payments/building-construction/building-permit/before-you-apply-for-a-building-permit/preliminary-zoning-reviews-information/request-building-records/" TargetMode="External" Id="rId466" /><Relationship Type="http://schemas.openxmlformats.org/officeDocument/2006/relationships/hyperlink" Target="https://www.google.com/maps/search/?api=1&amp;query=43.6968140348376,-79.4181951794038" TargetMode="External" Id="rId467" /><Relationship Type="http://schemas.openxmlformats.org/officeDocument/2006/relationships/hyperlink" Target="https://ckan0.cf.opendata.inter.prod-toronto.ca/api/3/action/datastore_search?resource_id=a96c0ba4-3026-402b-b09d-5b1268b8f810&amp;filters=%7B%22PERMIT_NUM%22%3A%5B%2219+223471+BLD%22%2C%2219+223471+HVA%22%2C%2219+223471+PLB%22%5D%7D" TargetMode="External" Id="rId468" /><Relationship Type="http://schemas.openxmlformats.org/officeDocument/2006/relationships/hyperlink" Target="https://secure.toronto.ca/ApplicationStatus/setup.do?action=init" TargetMode="External" Id="rId469" /><Relationship Type="http://schemas.openxmlformats.org/officeDocument/2006/relationships/hyperlink" Target="https://www.google.com/maps/search/?api=1&amp;query=43.6957118497998,-79.4158824345203" TargetMode="External" Id="rId470" /><Relationship Type="http://schemas.openxmlformats.org/officeDocument/2006/relationships/hyperlink" Target="https://ckan0.cf.opendata.inter.prod-toronto.ca/api/3/action/datastore_search?resource_id=6d0229af-bc54-46de-9c2b-26759b01dd05&amp;filters=%7B%22PERMIT_NUM%22%3A%5B%2223+166549+BLD%22%2C%2223+166549+HVA%22%2C%2223+166549+PLB%22%5D%7D" TargetMode="External" Id="rId471" /><Relationship Type="http://schemas.openxmlformats.org/officeDocument/2006/relationships/hyperlink" Target="https://www.toronto.ca/services-payments/building-construction/building-permit/before-you-apply-for-a-building-permit/preliminary-zoning-reviews-information/request-building-records/" TargetMode="External" Id="rId472" /><Relationship Type="http://schemas.openxmlformats.org/officeDocument/2006/relationships/hyperlink" Target="https://www.google.com/maps/search/?api=1&amp;query=43.6968268367367,-79.417959433431" TargetMode="External" Id="rId473" /><Relationship Type="http://schemas.openxmlformats.org/officeDocument/2006/relationships/hyperlink" Target="https://ckan0.cf.opendata.inter.prod-toronto.ca/api/3/action/datastore_search?resource_id=a96c0ba4-3026-402b-b09d-5b1268b8f810&amp;filters=%7B%22PERMIT_NUM%22%3A%5B%2205+182014+BLD%22%2C%2205+182014+PLB%22%5D%7D" TargetMode="External" Id="rId474" /><Relationship Type="http://schemas.openxmlformats.org/officeDocument/2006/relationships/hyperlink" Target="https://www.toronto.ca/services-payments/building-construction/building-permit/before-you-apply-for-a-building-permit/preliminary-zoning-reviews-information/request-building-records/" TargetMode="External" Id="rId475" /><Relationship Type="http://schemas.openxmlformats.org/officeDocument/2006/relationships/hyperlink" Target="https://www.google.com/maps/search/?api=1&amp;query=43.694546093386,-79.4155659088761" TargetMode="External" Id="rId476" /><Relationship Type="http://schemas.openxmlformats.org/officeDocument/2006/relationships/hyperlink" Target="https://ckan0.cf.opendata.inter.prod-toronto.ca/api/3/action/datastore_search?resource_id=a96c0ba4-3026-402b-b09d-5b1268b8f810&amp;filters=%7B%22PERMIT_NUM%22%3A%5B%2207+109908+BLD%22%2C%2207+109908+HVA%22%2C%2207+109908+PLB%22%5D%7D" TargetMode="External" Id="rId477" /><Relationship Type="http://schemas.openxmlformats.org/officeDocument/2006/relationships/hyperlink" Target="https://www.toronto.ca/services-payments/building-construction/building-permit/before-you-apply-for-a-building-permit/preliminary-zoning-reviews-information/request-building-records/" TargetMode="External" Id="rId478" /><Relationship Type="http://schemas.openxmlformats.org/officeDocument/2006/relationships/hyperlink" Target="https://www.google.com/maps/search/?api=1&amp;query=43.6949384890164,-79.4155447400086" TargetMode="External" Id="rId479" /><Relationship Type="http://schemas.openxmlformats.org/officeDocument/2006/relationships/hyperlink" Target="https://ckan0.cf.opendata.inter.prod-toronto.ca/api/3/action/datastore_search?resource_id=a96c0ba4-3026-402b-b09d-5b1268b8f810&amp;filters=%7B%22PERMIT_NUM%22%3A%5B%2216+109315+BLD%22%2C%2216+109315+DRN%22%2C%2216+109315+HVA%22%2C%2216+109315+PLB%22%5D%7D" TargetMode="External" Id="rId480" /><Relationship Type="http://schemas.openxmlformats.org/officeDocument/2006/relationships/hyperlink" Target="https://www.toronto.ca/services-payments/building-construction/building-permit/before-you-apply-for-a-building-permit/preliminary-zoning-reviews-information/request-building-records/" TargetMode="External" Id="rId481" /><Relationship Type="http://schemas.openxmlformats.org/officeDocument/2006/relationships/hyperlink" Target="https://www.google.com/maps/search/?api=1&amp;query=43.6968268367367,-79.417959433431" TargetMode="External" Id="rId482" /><Relationship Type="http://schemas.openxmlformats.org/officeDocument/2006/relationships/hyperlink" Target="https://ckan0.cf.opendata.inter.prod-toronto.ca/api/3/action/datastore_search?resource_id=a96c0ba4-3026-402b-b09d-5b1268b8f810&amp;filters=%7B%22PERMIT_NUM%22%3A%5B%2220+116844+BLD%22%2C%2220+116844+PLB%22%5D%7D" TargetMode="External" Id="rId483" /><Relationship Type="http://schemas.openxmlformats.org/officeDocument/2006/relationships/hyperlink" Target="https://www.toronto.ca/services-payments/building-construction/building-permit/before-you-apply-for-a-building-permit/preliminary-zoning-reviews-information/request-building-records/" TargetMode="External" Id="rId484" /><Relationship Type="http://schemas.openxmlformats.org/officeDocument/2006/relationships/hyperlink" Target="https://www.google.com/maps/search/?api=1&amp;query=43.6968268367367,-79.417959433431" TargetMode="External" Id="rId485" /><Relationship Type="http://schemas.openxmlformats.org/officeDocument/2006/relationships/hyperlink" Target="https://ckan0.cf.opendata.inter.prod-toronto.ca/api/3/action/datastore_search?resource_id=a96c0ba4-3026-402b-b09d-5b1268b8f810&amp;filters=%7B%22PERMIT_NUM%22%3A%5B%2220+183711+BLD%22%2C%2220+183711+HVA%22%5D%7D" TargetMode="External" Id="rId486" /><Relationship Type="http://schemas.openxmlformats.org/officeDocument/2006/relationships/hyperlink" Target="https://www.toronto.ca/services-payments/building-construction/building-permit/before-you-apply-for-a-building-permit/preliminary-zoning-reviews-information/request-building-records/" TargetMode="External" Id="rId487" /><Relationship Type="http://schemas.openxmlformats.org/officeDocument/2006/relationships/hyperlink" Target="https://www.google.com/maps/search/?api=1&amp;query=43.6931680633914,-79.4200929700687" TargetMode="External" Id="rId488" /><Relationship Type="http://schemas.openxmlformats.org/officeDocument/2006/relationships/hyperlink" Target="https://ckan0.cf.opendata.inter.prod-toronto.ca/api/3/action/datastore_search?resource_id=a96c0ba4-3026-402b-b09d-5b1268b8f810&amp;filters=%7B%22PERMIT_NUM%22%3A%2200+333429+CMB%22%7D" TargetMode="External" Id="rId489" /><Relationship Type="http://schemas.openxmlformats.org/officeDocument/2006/relationships/hyperlink" Target="https://www.toronto.ca/services-payments/building-construction/building-permit/before-you-apply-for-a-building-permit/preliminary-zoning-reviews-information/request-building-records/" TargetMode="External" Id="rId490" /><Relationship Type="http://schemas.openxmlformats.org/officeDocument/2006/relationships/hyperlink" Target="https://www.google.com/maps/search/?api=1&amp;query=43.6931680633914,-79.4200929700687" TargetMode="External" Id="rId491" /><Relationship Type="http://schemas.openxmlformats.org/officeDocument/2006/relationships/hyperlink" Target="https://ckan0.cf.opendata.inter.prod-toronto.ca/api/3/action/datastore_search?resource_id=a96c0ba4-3026-402b-b09d-5b1268b8f810&amp;filters=%7B%22PERMIT_NUM%22%3A%5B%2206+117346+BLD%22%2C%2206+117346+HVA%22%2C%2206+117346+PLB%22%5D%7D" TargetMode="External" Id="rId492" /><Relationship Type="http://schemas.openxmlformats.org/officeDocument/2006/relationships/hyperlink" Target="https://secure.toronto.ca/ApplicationStatus/setup.do?action=init" TargetMode="External" Id="rId493" /><Relationship Type="http://schemas.openxmlformats.org/officeDocument/2006/relationships/hyperlink" Target="https://www.google.com/maps/search/?api=1&amp;query=43.6968229704223,-79.4189622496325" TargetMode="External" Id="rId494" /><Relationship Type="http://schemas.openxmlformats.org/officeDocument/2006/relationships/hyperlink" Target="https://ckan0.cf.opendata.inter.prod-toronto.ca/api/3/action/datastore_search?resource_id=6d0229af-bc54-46de-9c2b-26759b01dd05&amp;filters=%7B%22PERMIT_NUM%22%3A%2225+107168+PSA%22%7D" TargetMode="External" Id="rId495" /><Relationship Type="http://schemas.openxmlformats.org/officeDocument/2006/relationships/hyperlink" Target="https://www.toronto.ca/services-payments/building-construction/building-permit/before-you-apply-for-a-building-permit/preliminary-zoning-reviews-information/request-building-records/" TargetMode="External" Id="rId496" /><Relationship Type="http://schemas.openxmlformats.org/officeDocument/2006/relationships/hyperlink" Target="https://www.google.com/maps/search/?api=1&amp;query=43.6941292256678,-79.4156513725787" TargetMode="External" Id="rId497" /><Relationship Type="http://schemas.openxmlformats.org/officeDocument/2006/relationships/hyperlink" Target="https://ckan0.cf.opendata.inter.prod-toronto.ca/api/3/action/datastore_search?resource_id=a96c0ba4-3026-402b-b09d-5b1268b8f810&amp;filters=%7B%22PERMIT_NUM%22%3A%5B%2216+255822+BLD%22%2C%2216+255822+HVA%22%2C%2216+255822+PLB%22%5D%7D" TargetMode="External" Id="rId498" /><Relationship Type="http://schemas.openxmlformats.org/officeDocument/2006/relationships/hyperlink" Target="https://www.toronto.ca/services-payments/building-construction/building-permit/before-you-apply-for-a-building-permit/preliminary-zoning-reviews-information/request-building-records/" TargetMode="External" Id="rId499" /><Relationship Type="http://schemas.openxmlformats.org/officeDocument/2006/relationships/hyperlink" Target="https://www.google.com/maps/search/?api=1&amp;query=43.6932918905579,-79.4163756932765" TargetMode="External" Id="rId500" /><Relationship Type="http://schemas.openxmlformats.org/officeDocument/2006/relationships/hyperlink" Target="https://ckan0.cf.opendata.inter.prod-toronto.ca/api/3/action/datastore_search?resource_id=a96c0ba4-3026-402b-b09d-5b1268b8f810&amp;filters=%7B%22PERMIT_NUM%22%3A%2212+116081+BLD%22%7D" TargetMode="External" Id="rId501" /><Relationship Type="http://schemas.openxmlformats.org/officeDocument/2006/relationships/hyperlink" Target="https://www.toronto.ca/services-payments/building-construction/building-permit/before-you-apply-for-a-building-permit/preliminary-zoning-reviews-information/request-building-records/" TargetMode="External" Id="rId502" /><Relationship Type="http://schemas.openxmlformats.org/officeDocument/2006/relationships/hyperlink" Target="https://www.google.com/maps/search/?api=1&amp;query=43.6955790448583,-79.4210958712504" TargetMode="External" Id="rId503" /><Relationship Type="http://schemas.openxmlformats.org/officeDocument/2006/relationships/hyperlink" Target="https://ckan0.cf.opendata.inter.prod-toronto.ca/api/3/action/datastore_search?resource_id=6d0229af-bc54-46de-9c2b-26759b01dd05&amp;filters=%7B%22PERMIT_NUM%22%3A%2204+106596+BLD%22%7D" TargetMode="External" Id="rId504" /><Relationship Type="http://schemas.openxmlformats.org/officeDocument/2006/relationships/hyperlink" Target="https://www.toronto.ca/services-payments/building-construction/building-permit/before-you-apply-for-a-building-permit/preliminary-zoning-reviews-information/request-building-records/" TargetMode="External" Id="rId505" /><Relationship Type="http://schemas.openxmlformats.org/officeDocument/2006/relationships/hyperlink" Target="https://www.google.com/maps/search/?api=1&amp;query=43.6955790448583,-79.4210958712504" TargetMode="External" Id="rId506" /><Relationship Type="http://schemas.openxmlformats.org/officeDocument/2006/relationships/hyperlink" Target="https://ckan0.cf.opendata.inter.prod-toronto.ca/api/3/action/datastore_search?resource_id=a96c0ba4-3026-402b-b09d-5b1268b8f810&amp;filters=%7B%22PERMIT_NUM%22%3A%2225+240629+BLD%22%7D" TargetMode="External" Id="rId507" /><Relationship Type="http://schemas.openxmlformats.org/officeDocument/2006/relationships/hyperlink" Target="https://secure.toronto.ca/ApplicationStatus/setup.do?action=init" TargetMode="External" Id="rId508" /><Relationship Type="http://schemas.openxmlformats.org/officeDocument/2006/relationships/hyperlink" Target="https://www.google.com/maps/search/?api=1&amp;query=43.6968971937675,-79.4177756523712" TargetMode="External" Id="rId509" /><Relationship Type="http://schemas.openxmlformats.org/officeDocument/2006/relationships/hyperlink" Target="https://ckan0.cf.opendata.inter.prod-toronto.ca/api/3/action/datastore_search?resource_id=6d0229af-bc54-46de-9c2b-26759b01dd05&amp;filters=%7B%22PERMIT_NUM%22%3A%2225+185135+DRN%22%7D" TargetMode="External" Id="rId510" /><Relationship Type="http://schemas.openxmlformats.org/officeDocument/2006/relationships/hyperlink" Target="https://www.toronto.ca/services-payments/building-construction/building-permit/before-you-apply-for-a-building-permit/preliminary-zoning-reviews-information/request-building-records/" TargetMode="External" Id="rId511" /><Relationship Type="http://schemas.openxmlformats.org/officeDocument/2006/relationships/hyperlink" Target="https://www.google.com/maps/search/?api=1&amp;query=43.6968971937675,-79.4177756523712" TargetMode="External" Id="rId512" /><Relationship Type="http://schemas.openxmlformats.org/officeDocument/2006/relationships/hyperlink" Target="https://ckan0.cf.opendata.inter.prod-toronto.ca/api/3/action/datastore_search?resource_id=a96c0ba4-3026-402b-b09d-5b1268b8f810&amp;filters=%7B%22PERMIT_NUM%22%3A%5B%2225+201127+BLD%22%2C%2225+201127+PLB%22%5D%7D" TargetMode="External" Id="rId513" /><Relationship Type="http://schemas.openxmlformats.org/officeDocument/2006/relationships/hyperlink" Target="https://www.toronto.ca/services-payments/building-construction/building-permit/before-you-apply-for-a-building-permit/preliminary-zoning-reviews-information/request-building-records/" TargetMode="External" Id="rId514" /><Relationship Type="http://schemas.openxmlformats.org/officeDocument/2006/relationships/hyperlink" Target="https://www.google.com/maps/search/?api=1&amp;query=43.6964010798297,-79.4163873019695" TargetMode="External" Id="rId515" /><Relationship Type="http://schemas.openxmlformats.org/officeDocument/2006/relationships/hyperlink" Target="https://ckan0.cf.opendata.inter.prod-toronto.ca/api/3/action/datastore_search?resource_id=6d0229af-bc54-46de-9c2b-26759b01dd05&amp;filters=%7B%22PERMIT_NUM%22%3A%2207+198772+BLD%22%7D" TargetMode="External" Id="rId516" /><Relationship Type="http://schemas.openxmlformats.org/officeDocument/2006/relationships/hyperlink" Target="https://www.toronto.ca/services-payments/building-construction/building-permit/before-you-apply-for-a-building-permit/preliminary-zoning-reviews-information/request-building-records/" TargetMode="External" Id="rId517" /><Relationship Type="http://schemas.openxmlformats.org/officeDocument/2006/relationships/hyperlink" Target="https://www.google.com/maps/search/?api=1&amp;query=43.694628087872,-79.4154221362853" TargetMode="External" Id="rId518" /><Relationship Type="http://schemas.openxmlformats.org/officeDocument/2006/relationships/hyperlink" Target="https://ckan0.cf.opendata.inter.prod-toronto.ca/api/3/action/datastore_search?resource_id=a96c0ba4-3026-402b-b09d-5b1268b8f810&amp;filters=%7B%22PERMIT_NUM%22%3A%5B%2220+151922+BLD%22%2C%2220+151922+PLB%22%5D%7D" TargetMode="External" Id="rId519" /><Relationship Type="http://schemas.openxmlformats.org/officeDocument/2006/relationships/hyperlink" Target="https://secure.toronto.ca/ApplicationStatus/setup.do?action=init" TargetMode="External" Id="rId520" /><Relationship Type="http://schemas.openxmlformats.org/officeDocument/2006/relationships/hyperlink" Target="https://www.google.com/maps/search/?api=1&amp;query=43.6961340119578,-79.4160439284095" TargetMode="External" Id="rId521" /><Relationship Type="http://schemas.openxmlformats.org/officeDocument/2006/relationships/hyperlink" Target="https://ckan0.cf.opendata.inter.prod-toronto.ca/api/3/action/datastore_search?resource_id=6d0229af-bc54-46de-9c2b-26759b01dd05&amp;filters=%7B%22PERMIT_NUM%22%3A%5B%2226+208054+BLD%22%2C%2226+208054+DRN%22%2C%2226+208054+PLB%22%5D%7D" TargetMode="External" Id="rId522" /><Relationship Type="http://schemas.openxmlformats.org/officeDocument/2006/relationships/hyperlink" Target="https://secure.toronto.ca/ApplicationStatus/setup.do?action=init" TargetMode="External" Id="rId523" /><Relationship Type="http://schemas.openxmlformats.org/officeDocument/2006/relationships/hyperlink" Target="https://www.google.com/maps/search/?api=1&amp;query=43.6961340119578,-79.4160439284095" TargetMode="External" Id="rId524" /><Relationship Type="http://schemas.openxmlformats.org/officeDocument/2006/relationships/hyperlink" Target="https://ckan0.cf.opendata.inter.prod-toronto.ca/api/3/action/datastore_search?resource_id=6d0229af-bc54-46de-9c2b-26759b01dd05&amp;filters=%7B%22PERMIT_NUM%22%3A%2226+208068+DEM%22%7D" TargetMode="External" Id="rId525" /><Relationship Type="http://schemas.openxmlformats.org/officeDocument/2006/relationships/hyperlink" Target="https://www.toronto.ca/services-payments/building-construction/building-permit/before-you-apply-for-a-building-permit/preliminary-zoning-reviews-information/request-building-records/" TargetMode="External" Id="rId526" /><Relationship Type="http://schemas.openxmlformats.org/officeDocument/2006/relationships/hyperlink" Target="https://www.google.com/maps/search/?api=1&amp;query=43.6961721062807,-79.4206703128996" TargetMode="External" Id="rId527" /><Relationship Type="http://schemas.openxmlformats.org/officeDocument/2006/relationships/hyperlink" Target="https://ckan0.cf.opendata.inter.prod-toronto.ca/api/3/action/datastore_search?resource_id=a96c0ba4-3026-402b-b09d-5b1268b8f810&amp;filters=%7B%22PERMIT_NUM%22%3A%2218+224547+BLD%22%7D" TargetMode="External" Id="rId528" /><Relationship Type="http://schemas.openxmlformats.org/officeDocument/2006/relationships/hyperlink" Target="https://www.toronto.ca/services-payments/building-construction/building-permit/before-you-apply-for-a-building-permit/preliminary-zoning-reviews-information/request-building-records/" TargetMode="External" Id="rId529" /><Relationship Type="http://schemas.openxmlformats.org/officeDocument/2006/relationships/hyperlink" Target="https://www.google.com/maps/search/?api=1&amp;query=43.6961721062807,-79.4206703128996" TargetMode="External" Id="rId530" /><Relationship Type="http://schemas.openxmlformats.org/officeDocument/2006/relationships/hyperlink" Target="https://ckan0.cf.opendata.inter.prod-toronto.ca/api/3/action/datastore_search?resource_id=a96c0ba4-3026-402b-b09d-5b1268b8f810&amp;filters=%7B%22PERMIT_NUM%22%3A%2219+177124+BLD%22%7D" TargetMode="External" Id="rId531" /><Relationship Type="http://schemas.openxmlformats.org/officeDocument/2006/relationships/hyperlink" Target="https://www.toronto.ca/services-payments/building-construction/building-permit/before-you-apply-for-a-building-permit/preliminary-zoning-reviews-information/request-building-records/" TargetMode="External" Id="rId532" /><Relationship Type="http://schemas.openxmlformats.org/officeDocument/2006/relationships/hyperlink" Target="https://www.google.com/maps/search/?api=1&amp;query=43.6961721062807,-79.4206703128996" TargetMode="External" Id="rId533" /><Relationship Type="http://schemas.openxmlformats.org/officeDocument/2006/relationships/hyperlink" Target="https://ckan0.cf.opendata.inter.prod-toronto.ca/api/3/action/datastore_search?resource_id=a96c0ba4-3026-402b-b09d-5b1268b8f810&amp;filters=%7B%22PERMIT_NUM%22%3A%5B%2219+196001+BLD%22%2C%2219+196001+HVA%22%2C%2219+196001+PLB%22%5D%7D" TargetMode="External" Id="rId534" /><Relationship Type="http://schemas.openxmlformats.org/officeDocument/2006/relationships/hyperlink" Target="https://www.toronto.ca/services-payments/building-construction/building-permit/before-you-apply-for-a-building-permit/preliminary-zoning-reviews-information/request-building-records/" TargetMode="External" Id="rId535" /><Relationship Type="http://schemas.openxmlformats.org/officeDocument/2006/relationships/hyperlink" Target="https://www.google.com/maps/search/?api=1&amp;query=43.6961721062807,-79.4206703128996" TargetMode="External" Id="rId536" /><Relationship Type="http://schemas.openxmlformats.org/officeDocument/2006/relationships/hyperlink" Target="https://ckan0.cf.opendata.inter.prod-toronto.ca/api/3/action/datastore_search?resource_id=a96c0ba4-3026-402b-b09d-5b1268b8f810&amp;filters=%7B%22PERMIT_NUM%22%3A%2220+185371+BLD%22%7D" TargetMode="External" Id="rId537" /><Relationship Type="http://schemas.openxmlformats.org/officeDocument/2006/relationships/hyperlink" Target="https://www.toronto.ca/services-payments/building-construction/building-permit/before-you-apply-for-a-building-permit/preliminary-zoning-reviews-information/request-building-records/" TargetMode="External" Id="rId538" /><Relationship Type="http://schemas.openxmlformats.org/officeDocument/2006/relationships/hyperlink" Target="https://www.google.com/maps/search/?api=1&amp;query=43.6927837282789,-79.4172618262564" TargetMode="External" Id="rId539" /><Relationship Type="http://schemas.openxmlformats.org/officeDocument/2006/relationships/hyperlink" Target="https://ckan0.cf.opendata.inter.prod-toronto.ca/api/3/action/datastore_search?resource_id=a96c0ba4-3026-402b-b09d-5b1268b8f810&amp;filters=%7B%22PERMIT_NUM%22%3A%2219+199433+BLD%22%7D" TargetMode="External" Id="rId540" /><Relationship Type="http://schemas.openxmlformats.org/officeDocument/2006/relationships/hyperlink" Target="https://secure.toronto.ca/ApplicationStatus/setup.do?action=init" TargetMode="External" Id="rId541" /><Relationship Type="http://schemas.openxmlformats.org/officeDocument/2006/relationships/hyperlink" Target="https://www.google.com/maps/search/?api=1&amp;query=43.6957234217251,-79.4211033859984" TargetMode="External" Id="rId542" /><Relationship Type="http://schemas.openxmlformats.org/officeDocument/2006/relationships/hyperlink" Target="https://ckan0.cf.opendata.inter.prod-toronto.ca/api/3/action/datastore_search?resource_id=6d0229af-bc54-46de-9c2b-26759b01dd05&amp;filters=%7B%22PERMIT_NUM%22%3A%2223+112356+DRN%22%7D" TargetMode="External" Id="rId543" /><Relationship Type="http://schemas.openxmlformats.org/officeDocument/2006/relationships/hyperlink" Target="https://www.toronto.ca/services-payments/building-construction/building-permit/before-you-apply-for-a-building-permit/preliminary-zoning-reviews-information/request-building-records/" TargetMode="External" Id="rId544" /><Relationship Type="http://schemas.openxmlformats.org/officeDocument/2006/relationships/hyperlink" Target="https://www.google.com/maps/search/?api=1&amp;query=43.6965603708764,-79.4201704199555" TargetMode="External" Id="rId545" /><Relationship Type="http://schemas.openxmlformats.org/officeDocument/2006/relationships/hyperlink" Target="https://ckan0.cf.opendata.inter.prod-toronto.ca/api/3/action/datastore_search?resource_id=a96c0ba4-3026-402b-b09d-5b1268b8f810&amp;filters=%7B%22PERMIT_NUM%22%3A%5B%2216+138536+BLD%22%2C%2216+138536+DRN%22%2C%2216+138536+HVA%22%2C%2216+138536+PLB%22%5D%7D" TargetMode="External" Id="rId546" /><Relationship Type="http://schemas.openxmlformats.org/officeDocument/2006/relationships/hyperlink" Target="https://secure.toronto.ca/ApplicationStatus/setup.do?action=init" TargetMode="External" Id="rId547" /><Relationship Type="http://schemas.openxmlformats.org/officeDocument/2006/relationships/hyperlink" Target="https://www.google.com/maps/search/?api=1&amp;query=43.6967504464414,-79.4169300051239" TargetMode="External" Id="rId548" /><Relationship Type="http://schemas.openxmlformats.org/officeDocument/2006/relationships/hyperlink" Target="https://ckan0.cf.opendata.inter.prod-toronto.ca/api/3/action/datastore_search?resource_id=6d0229af-bc54-46de-9c2b-26759b01dd05&amp;filters=%7B%22PERMIT_NUM%22%3A%2222+189324+BLD%22%7D" TargetMode="External" Id="rId549" /><Relationship Type="http://schemas.openxmlformats.org/officeDocument/2006/relationships/hyperlink" Target="https://www.toronto.ca/services-payments/building-construction/building-permit/before-you-apply-for-a-building-permit/preliminary-zoning-reviews-information/request-building-records/" TargetMode="External" Id="rId550" /><Relationship Type="http://schemas.openxmlformats.org/officeDocument/2006/relationships/hyperlink" Target="https://www.google.com/maps/search/?api=1&amp;query=43.6969348934977,-79.4175290040893" TargetMode="External" Id="rId551" /><Relationship Type="http://schemas.openxmlformats.org/officeDocument/2006/relationships/hyperlink" Target="https://ckan0.cf.opendata.inter.prod-toronto.ca/api/3/action/datastore_search?resource_id=a96c0ba4-3026-402b-b09d-5b1268b8f810&amp;filters=%7B%22PERMIT_NUM%22%3A%2215+238670+DEM%22%7D" TargetMode="External" Id="rId552" /><Relationship Type="http://schemas.openxmlformats.org/officeDocument/2006/relationships/hyperlink" Target="https://www.toronto.ca/services-payments/building-construction/building-permit/before-you-apply-for-a-building-permit/preliminary-zoning-reviews-information/request-building-records/" TargetMode="External" Id="rId553" /><Relationship Type="http://schemas.openxmlformats.org/officeDocument/2006/relationships/hyperlink" Target="https://www.google.com/maps/search/?api=1&amp;query=43.6969348934977,-79.4175290040893" TargetMode="External" Id="rId554" /><Relationship Type="http://schemas.openxmlformats.org/officeDocument/2006/relationships/hyperlink" Target="https://ckan0.cf.opendata.inter.prod-toronto.ca/api/3/action/datastore_search?resource_id=a96c0ba4-3026-402b-b09d-5b1268b8f810&amp;filters=%7B%22PERMIT_NUM%22%3A%5B%2215+238674+BLD%22%2C%2215+238674+DRN%22%2C%2215+238674+HVA%22%2C%2215+238674+PLB%22%5D%7D" TargetMode="External" Id="rId555" /><Relationship Type="http://schemas.openxmlformats.org/officeDocument/2006/relationships/hyperlink" Target="https://www.toronto.ca/services-payments/building-construction/building-permit/before-you-apply-for-a-building-permit/preliminary-zoning-reviews-information/request-building-records/" TargetMode="External" Id="rId556" /><Relationship Type="http://schemas.openxmlformats.org/officeDocument/2006/relationships/hyperlink" Target="https://www.google.com/maps/search/?api=1&amp;query=43.6945736719257,-79.421408261118" TargetMode="External" Id="rId557" /><Relationship Type="http://schemas.openxmlformats.org/officeDocument/2006/relationships/hyperlink" Target="https://ckan0.cf.opendata.inter.prod-toronto.ca/api/3/action/datastore_search?resource_id=a96c0ba4-3026-402b-b09d-5b1268b8f810&amp;filters=%7B%22PERMIT_NUM%22%3A%5B%2219+151442+BLD%22%2C%2219+151442+HVA%22%2C%2219+151442+PLB%22%5D%7D" TargetMode="External" Id="rId558" /><Relationship Type="http://schemas.openxmlformats.org/officeDocument/2006/relationships/hyperlink" Target="https://www.toronto.ca/services-payments/building-construction/building-permit/before-you-apply-for-a-building-permit/preliminary-zoning-reviews-information/request-building-records/" TargetMode="External" Id="rId559" /><Relationship Type="http://schemas.openxmlformats.org/officeDocument/2006/relationships/hyperlink" Target="https://www.google.com/maps/search/?api=1&amp;query=43.6945736719257,-79.421408261118" TargetMode="External" Id="rId560" /><Relationship Type="http://schemas.openxmlformats.org/officeDocument/2006/relationships/hyperlink" Target="https://ckan0.cf.opendata.inter.prod-toronto.ca/api/3/action/datastore_search?resource_id=a96c0ba4-3026-402b-b09d-5b1268b8f810&amp;filters=%7B%22PERMIT_NUM%22%3A%2219+207554+BLD%22%7D" TargetMode="External" Id="rId561" /><Relationship Type="http://schemas.openxmlformats.org/officeDocument/2006/relationships/hyperlink" Target="https://www.toronto.ca/services-payments/building-construction/building-permit/before-you-apply-for-a-building-permit/preliminary-zoning-reviews-information/request-building-records/" TargetMode="External" Id="rId562" /><Relationship Type="http://schemas.openxmlformats.org/officeDocument/2006/relationships/hyperlink" Target="https://www.google.com/maps/search/?api=1&amp;query=43.6969666440155,-79.4190568886993" TargetMode="External" Id="rId563" /><Relationship Type="http://schemas.openxmlformats.org/officeDocument/2006/relationships/hyperlink" Target="https://ckan0.cf.opendata.inter.prod-toronto.ca/api/3/action/datastore_search?resource_id=a96c0ba4-3026-402b-b09d-5b1268b8f810&amp;filters=%7B%22PERMIT_NUM%22%3A%5B%2223+193098+BLD%22%2C%2223+193098+HVA%22%2C%2223+193098+PLB%22%5D%7D" TargetMode="External" Id="rId564" /><Relationship Type="http://schemas.openxmlformats.org/officeDocument/2006/relationships/hyperlink" Target="https://www.toronto.ca/services-payments/building-construction/building-permit/before-you-apply-for-a-building-permit/preliminary-zoning-reviews-information/request-building-records/" TargetMode="External" Id="rId565" /><Relationship Type="http://schemas.openxmlformats.org/officeDocument/2006/relationships/hyperlink" Target="https://www.google.com/maps/search/?api=1&amp;query=43.6969666440155,-79.4190568886993" TargetMode="External" Id="rId566" /><Relationship Type="http://schemas.openxmlformats.org/officeDocument/2006/relationships/hyperlink" Target="https://ckan0.cf.opendata.inter.prod-toronto.ca/api/3/action/datastore_search?resource_id=a96c0ba4-3026-402b-b09d-5b1268b8f810&amp;filters=%7B%22PERMIT_NUM%22%3A%2298+025408+BLD%22%7D" TargetMode="External" Id="rId567" /><Relationship Type="http://schemas.openxmlformats.org/officeDocument/2006/relationships/hyperlink" Target="https://www.toronto.ca/services-payments/building-construction/building-permit/before-you-apply-for-a-building-permit/preliminary-zoning-reviews-information/request-building-records/" TargetMode="External" Id="rId568" /><Relationship Type="http://schemas.openxmlformats.org/officeDocument/2006/relationships/hyperlink" Target="https://www.google.com/maps/search/?api=1&amp;query=43.6932616574969,-79.4161576239151" TargetMode="External" Id="rId569" /><Relationship Type="http://schemas.openxmlformats.org/officeDocument/2006/relationships/hyperlink" Target="https://ckan0.cf.opendata.inter.prod-toronto.ca/api/3/action/datastore_search?resource_id=a96c0ba4-3026-402b-b09d-5b1268b8f810&amp;filters=%7B%22PERMIT_NUM%22%3A%2209+188148+PSA%22%7D" TargetMode="External" Id="rId570" /><Relationship Type="http://schemas.openxmlformats.org/officeDocument/2006/relationships/hyperlink" Target="https://www.toronto.ca/services-payments/building-construction/building-permit/before-you-apply-for-a-building-permit/preliminary-zoning-reviews-information/request-building-records/" TargetMode="External" Id="rId571" /><Relationship Type="http://schemas.openxmlformats.org/officeDocument/2006/relationships/hyperlink" Target="https://www.google.com/maps/search/?api=1&amp;query=43.6968090459331,-79.419702751884" TargetMode="External" Id="rId572" /><Relationship Type="http://schemas.openxmlformats.org/officeDocument/2006/relationships/hyperlink" Target="https://ckan0.cf.opendata.inter.prod-toronto.ca/api/3/action/datastore_search?resource_id=a96c0ba4-3026-402b-b09d-5b1268b8f810&amp;filters=%7B%22PERMIT_NUM%22%3A%2223+163518+BLD%22%7D" TargetMode="External" Id="rId573" /><Relationship Type="http://schemas.openxmlformats.org/officeDocument/2006/relationships/hyperlink" Target="https://www.toronto.ca/services-payments/building-construction/building-permit/before-you-apply-for-a-building-permit/preliminary-zoning-reviews-information/request-building-records/" TargetMode="External" Id="rId574" /><Relationship Type="http://schemas.openxmlformats.org/officeDocument/2006/relationships/hyperlink" Target="https://www.google.com/maps/search/?api=1&amp;query=43.6714201419895,-79.4384877304351" TargetMode="External" Id="rId575" /><Relationship Type="http://schemas.openxmlformats.org/officeDocument/2006/relationships/hyperlink" Target="https://ckan0.cf.opendata.inter.prod-toronto.ca/api/3/action/datastore_search?resource_id=a96c0ba4-3026-402b-b09d-5b1268b8f810&amp;filters=%7B%22PERMIT_NUM%22%3A%2223+208900+DRN%22%7D" TargetMode="External" Id="rId576" /><Relationship Type="http://schemas.openxmlformats.org/officeDocument/2006/relationships/hyperlink" Target="https://secure.toronto.ca/ApplicationStatus/setup.do?action=init" TargetMode="External" Id="rId577" /><Relationship Type="http://schemas.openxmlformats.org/officeDocument/2006/relationships/hyperlink" Target="https://www.google.com/maps/search/?api=1&amp;query=43.6713706787436,-79.4383856845961" TargetMode="External" Id="rId578" /><Relationship Type="http://schemas.openxmlformats.org/officeDocument/2006/relationships/hyperlink" Target="https://ckan0.cf.opendata.inter.prod-toronto.ca/api/3/action/datastore_search?resource_id=6d0229af-bc54-46de-9c2b-26759b01dd05&amp;filters=%7B%22PERMIT_NUM%22%3A%5B%2224+204959+BLD%22%2C%2224+204959+HVA%22%2C%2224+204959+PLB%22%5D%7D" TargetMode="External" Id="rId579" /><Relationship Type="http://schemas.openxmlformats.org/officeDocument/2006/relationships/hyperlink" Target="https://secure.toronto.ca/ApplicationStatus/setup.do?action=init" TargetMode="External" Id="rId580" /><Relationship Type="http://schemas.openxmlformats.org/officeDocument/2006/relationships/hyperlink" Target="https://www.google.com/maps/search/?api=1&amp;query=43.6713706787436,-79.4383856845961" TargetMode="External" Id="rId581" /><Relationship Type="http://schemas.openxmlformats.org/officeDocument/2006/relationships/hyperlink" Target="https://ckan0.cf.opendata.inter.prod-toronto.ca/api/3/action/datastore_search?resource_id=6d0229af-bc54-46de-9c2b-26759b01dd05&amp;filters=%7B%22PERMIT_NUM%22%3A%2224+208231+DEM%22%7D" TargetMode="External" Id="rId582" /><Relationship Type="http://schemas.openxmlformats.org/officeDocument/2006/relationships/hyperlink" Target="https://secure.toronto.ca/ApplicationStatus/setup.do?action=init" TargetMode="External" Id="rId583" /><Relationship Type="http://schemas.openxmlformats.org/officeDocument/2006/relationships/hyperlink" Target="https://www.google.com/maps/search/?api=1&amp;query=43.6713437217402,-79.43840604959" TargetMode="External" Id="rId584" /><Relationship Type="http://schemas.openxmlformats.org/officeDocument/2006/relationships/hyperlink" Target="https://ckan0.cf.opendata.inter.prod-toronto.ca/api/3/action/datastore_search?resource_id=6d0229af-bc54-46de-9c2b-26759b01dd05&amp;filters=%7B%22PERMIT_NUM%22%3A%5B%2224+205007+BLD%22%2C%2224+205007+HVA%22%2C%2224+205007+PLB%22%5D%7D" TargetMode="External" Id="rId585" /><Relationship Type="http://schemas.openxmlformats.org/officeDocument/2006/relationships/hyperlink" Target="https://secure.toronto.ca/ApplicationStatus/setup.do?action=init" TargetMode="External" Id="rId586" /><Relationship Type="http://schemas.openxmlformats.org/officeDocument/2006/relationships/hyperlink" Target="https://www.google.com/maps/search/?api=1&amp;query=43.6713437217402,-79.43840604959" TargetMode="External" Id="rId587" /><Relationship Type="http://schemas.openxmlformats.org/officeDocument/2006/relationships/hyperlink" Target="https://ckan0.cf.opendata.inter.prod-toronto.ca/api/3/action/datastore_search?resource_id=6d0229af-bc54-46de-9c2b-26759b01dd05&amp;filters=%7B%22PERMIT_NUM%22%3A%2224+205061+DEM%22%7D" TargetMode="External" Id="rId588" /><Relationship Type="http://schemas.openxmlformats.org/officeDocument/2006/relationships/hyperlink" Target="https://secure.toronto.ca/ApplicationStatus/setup.do?action=init" TargetMode="External" Id="rId589" /><Relationship Type="http://schemas.openxmlformats.org/officeDocument/2006/relationships/hyperlink" Target="https://www.google.com/maps/search/?api=1&amp;query=43.6712487274656,-79.438366600446" TargetMode="External" Id="rId590" /><Relationship Type="http://schemas.openxmlformats.org/officeDocument/2006/relationships/hyperlink" Target="https://ckan0.cf.opendata.inter.prod-toronto.ca/api/3/action/datastore_search?resource_id=6d0229af-bc54-46de-9c2b-26759b01dd05&amp;filters=%7B%22PERMIT_NUM%22%3A%2221+163821+BLD%22%7D" TargetMode="External" Id="rId591" /><Relationship Type="http://schemas.openxmlformats.org/officeDocument/2006/relationships/hyperlink" Target="https://secure.toronto.ca/ApplicationStatus/setup.do?action=init" TargetMode="External" Id="rId592" /><Relationship Type="http://schemas.openxmlformats.org/officeDocument/2006/relationships/hyperlink" Target="https://www.google.com/maps/search/?api=1&amp;query=43.6717909728834,-79.4386109024167" TargetMode="External" Id="rId593" /><Relationship Type="http://schemas.openxmlformats.org/officeDocument/2006/relationships/hyperlink" Target="https://ckan0.cf.opendata.inter.prod-toronto.ca/api/3/action/datastore_search?resource_id=a96c0ba4-3026-402b-b09d-5b1268b8f810&amp;filters=%7B%22PERMIT_NUM%22%3A%2212+193063+BLD%22%7D" TargetMode="External" Id="rId594" /><Relationship Type="http://schemas.openxmlformats.org/officeDocument/2006/relationships/hyperlink" Target="https://www.toronto.ca/services-payments/building-construction/building-permit/before-you-apply-for-a-building-permit/preliminary-zoning-reviews-information/request-building-records/" TargetMode="External" Id="rId595" /><Relationship Type="http://schemas.openxmlformats.org/officeDocument/2006/relationships/hyperlink" Target="https://www.google.com/maps/search/?api=1&amp;query=43.6714877565824,-79.4390190272596" TargetMode="External" Id="rId596" /><Relationship Type="http://schemas.openxmlformats.org/officeDocument/2006/relationships/hyperlink" Target="https://ckan0.cf.opendata.inter.prod-toronto.ca/api/3/action/datastore_search?resource_id=6d0229af-bc54-46de-9c2b-26759b01dd05&amp;filters=%7B%22PERMIT_NUM%22%3A%2210+168866+BLD%22%7D" TargetMode="External" Id="rId597" /><Relationship Type="http://schemas.openxmlformats.org/officeDocument/2006/relationships/hyperlink" Target="https://www.toronto.ca/services-payments/building-construction/building-permit/before-you-apply-for-a-building-permit/preliminary-zoning-reviews-information/request-building-records/" TargetMode="External" Id="rId598" /><Relationship Type="http://schemas.openxmlformats.org/officeDocument/2006/relationships/hyperlink" Target="https://www.google.com/maps/search/?api=1&amp;query=43.6712243305055,-79.4388800449545" TargetMode="External" Id="rId599" /><Relationship Type="http://schemas.openxmlformats.org/officeDocument/2006/relationships/hyperlink" Target="https://ckan0.cf.opendata.inter.prod-toronto.ca/api/3/action/datastore_search?resource_id=a96c0ba4-3026-402b-b09d-5b1268b8f810&amp;filters=%7B%22PERMIT_NUM%22%3A%5B%2215+228619+BLD%22%2C%2215+228619+PLB%22%5D%7D" TargetMode="External" Id="rId600" /><Relationship Type="http://schemas.openxmlformats.org/officeDocument/2006/relationships/hyperlink" Target="https://www.toronto.ca/services-payments/building-construction/building-permit/before-you-apply-for-a-building-permit/preliminary-zoning-reviews-information/request-building-records/" TargetMode="External" Id="rId601" /><Relationship Type="http://schemas.openxmlformats.org/officeDocument/2006/relationships/hyperlink" Target="https://www.google.com/maps/search/?api=1&amp;query=43.6719444957603,-79.4386374328567" TargetMode="External" Id="rId602" /><Relationship Type="http://schemas.openxmlformats.org/officeDocument/2006/relationships/hyperlink" Target="https://ckan0.cf.opendata.inter.prod-toronto.ca/api/3/action/datastore_search?resource_id=a96c0ba4-3026-402b-b09d-5b1268b8f810&amp;filters=%7B%22PERMIT_NUM%22%3A%2223+203772+BLD%22%7D" TargetMode="External" Id="rId603" /><Relationship Type="http://schemas.openxmlformats.org/officeDocument/2006/relationships/hyperlink" Target="https://secure.toronto.ca/ApplicationStatus/setup.do?action=init" TargetMode="External" Id="rId604" /><Relationship Type="http://schemas.openxmlformats.org/officeDocument/2006/relationships/hyperlink" Target="https://www.google.com/maps/search/?api=1&amp;query=43.6709805376689,-79.4382920361286" TargetMode="External" Id="rId605" /><Relationship Type="http://schemas.openxmlformats.org/officeDocument/2006/relationships/hyperlink" Target="https://ckan0.cf.opendata.inter.prod-toronto.ca/api/3/action/datastore_search?resource_id=6d0229af-bc54-46de-9c2b-26759b01dd05&amp;filters=%7B%22PERMIT_NUM%22%3A%2226+156195+BLD%22%7D" TargetMode="External" Id="rId606" /><Relationship Type="http://schemas.openxmlformats.org/officeDocument/2006/relationships/hyperlink" Target="https://www.toronto.ca/services-payments/building-construction/building-permit/before-you-apply-for-a-building-permit/preliminary-zoning-reviews-information/request-building-records/" TargetMode="External" Id="rId607" /><Relationship Type="http://schemas.openxmlformats.org/officeDocument/2006/relationships/hyperlink" Target="https://www.google.com/maps/search/?api=1&amp;query=43.6714528921689,-79.437679605638" TargetMode="External" Id="rId608" /><Relationship Type="http://schemas.openxmlformats.org/officeDocument/2006/relationships/hyperlink" Target="https://ckan0.cf.opendata.inter.prod-toronto.ca/api/3/action/datastore_search?resource_id=a96c0ba4-3026-402b-b09d-5b1268b8f810&amp;filters=%7B%22PERMIT_NUM%22%3A%5B%2219+144697+BLD%22%2C%2219+144697+PLB%22%5D%7D" TargetMode="External" Id="rId609" /><Relationship Type="http://schemas.openxmlformats.org/officeDocument/2006/relationships/hyperlink" Target="https://www.toronto.ca/services-payments/building-construction/building-permit/before-you-apply-for-a-building-permit/preliminary-zoning-reviews-information/request-building-records/" TargetMode="External" Id="rId610" /><Relationship Type="http://schemas.openxmlformats.org/officeDocument/2006/relationships/hyperlink" Target="https://www.google.com/maps/search/?api=1&amp;query=43.6714528921689,-79.437679605638" TargetMode="External" Id="rId611" /><Relationship Type="http://schemas.openxmlformats.org/officeDocument/2006/relationships/hyperlink" Target="https://ckan0.cf.opendata.inter.prod-toronto.ca/api/3/action/datastore_search?resource_id=a96c0ba4-3026-402b-b09d-5b1268b8f810&amp;filters=%7B%22PERMIT_NUM%22%3A%5B%2222+127815+BLD%22%2C%2222+127815+DRN%22%2C%2222+127815+HVA%22%2C%2222+127815+PLB%22%5D%7D" TargetMode="External" Id="rId612" /><Relationship Type="http://schemas.openxmlformats.org/officeDocument/2006/relationships/hyperlink" Target="https://www.toronto.ca/services-payments/building-construction/building-permit/before-you-apply-for-a-building-permit/preliminary-zoning-reviews-information/request-building-records/" TargetMode="External" Id="rId613" /><Relationship Type="http://schemas.openxmlformats.org/officeDocument/2006/relationships/hyperlink" Target="https://www.google.com/maps/search/?api=1&amp;query=43.6708825575799,-79.4387259402077" TargetMode="External" Id="rId614" /><Relationship Type="http://schemas.openxmlformats.org/officeDocument/2006/relationships/hyperlink" Target="https://ckan0.cf.opendata.inter.prod-toronto.ca/api/3/action/datastore_search?resource_id=a96c0ba4-3026-402b-b09d-5b1268b8f810&amp;filters=%7B%22PERMIT_NUM%22%3A%5B%2212+260120+BLD%22%2C%2212+260120+PLB%22%5D%7D" TargetMode="External" Id="rId615" /><Relationship Type="http://schemas.openxmlformats.org/officeDocument/2006/relationships/hyperlink" Target="https://www.toronto.ca/services-payments/building-construction/building-permit/before-you-apply-for-a-building-permit/preliminary-zoning-reviews-information/request-building-records/" TargetMode="External" Id="rId616" /><Relationship Type="http://schemas.openxmlformats.org/officeDocument/2006/relationships/hyperlink" Target="https://www.google.com/maps/search/?api=1&amp;query=43.6718380132992,-79.439182476974" TargetMode="External" Id="rId617" /><Relationship Type="http://schemas.openxmlformats.org/officeDocument/2006/relationships/hyperlink" Target="https://ckan0.cf.opendata.inter.prod-toronto.ca/api/3/action/datastore_search?resource_id=a96c0ba4-3026-402b-b09d-5b1268b8f810&amp;filters=%7B%22PERMIT_NUM%22%3A%2217+214997+BLD%22%7D" TargetMode="External" Id="rId618" /><Relationship Type="http://schemas.openxmlformats.org/officeDocument/2006/relationships/hyperlink" Target="https://secure.toronto.ca/ApplicationStatus/setup.do?action=init" TargetMode="External" Id="rId619" /><Relationship Type="http://schemas.openxmlformats.org/officeDocument/2006/relationships/hyperlink" Target="https://www.google.com/maps/search/?api=1&amp;query=43.6718380132992,-79.439182476974" TargetMode="External" Id="rId620" /><Relationship Type="http://schemas.openxmlformats.org/officeDocument/2006/relationships/hyperlink" Target="https://ckan0.cf.opendata.inter.prod-toronto.ca/api/3/action/datastore_search?resource_id=6d0229af-bc54-46de-9c2b-26759b01dd05&amp;filters=%7B%22PERMIT_NUM%22%3A%5B%2217+238488+BLD%22%2C%2217+238488+DRN%22%2C%2217+238488+PLB%22%5D%7D" TargetMode="External" Id="rId621" /><Relationship Type="http://schemas.openxmlformats.org/officeDocument/2006/relationships/hyperlink" Target="https://www.toronto.ca/services-payments/building-construction/building-permit/before-you-apply-for-a-building-permit/preliminary-zoning-reviews-information/request-building-records/" TargetMode="External" Id="rId622" /><Relationship Type="http://schemas.openxmlformats.org/officeDocument/2006/relationships/hyperlink" Target="https://www.google.com/maps/search/?api=1&amp;query=43.6718380132992,-79.439182476974" TargetMode="External" Id="rId623" /><Relationship Type="http://schemas.openxmlformats.org/officeDocument/2006/relationships/hyperlink" Target="https://ckan0.cf.opendata.inter.prod-toronto.ca/api/3/action/datastore_search?resource_id=a96c0ba4-3026-402b-b09d-5b1268b8f810&amp;filters=%7B%22PERMIT_NUM%22%3A%2218+208112+BLD%22%7D" TargetMode="External" Id="rId624" /><Relationship Type="http://schemas.openxmlformats.org/officeDocument/2006/relationships/hyperlink" Target="https://www.toronto.ca/services-payments/building-construction/building-permit/before-you-apply-for-a-building-permit/preliminary-zoning-reviews-information/request-building-records/" TargetMode="External" Id="rId625" /><Relationship Type="http://schemas.openxmlformats.org/officeDocument/2006/relationships/hyperlink" Target="https://www.google.com/maps/search/?api=1&amp;query=43.671395477277,-79.4376714928712" TargetMode="External" Id="rId626" /><Relationship Type="http://schemas.openxmlformats.org/officeDocument/2006/relationships/hyperlink" Target="https://ckan0.cf.opendata.inter.prod-toronto.ca/api/3/action/datastore_search?resource_id=a96c0ba4-3026-402b-b09d-5b1268b8f810&amp;filters=%7B%22PERMIT_NUM%22%3A%2222+160381+BLD%22%7D" TargetMode="External" Id="rId627" /><Relationship Type="http://schemas.openxmlformats.org/officeDocument/2006/relationships/hyperlink" Target="https://www.toronto.ca/services-payments/building-construction/building-permit/before-you-apply-for-a-building-permit/preliminary-zoning-reviews-information/request-building-records/" TargetMode="External" Id="rId628" /><Relationship Type="http://schemas.openxmlformats.org/officeDocument/2006/relationships/hyperlink" Target="https://www.google.com/maps/search/?api=1&amp;query=43.6713279280708,-79.4376490428133" TargetMode="External" Id="rId629" /><Relationship Type="http://schemas.openxmlformats.org/officeDocument/2006/relationships/hyperlink" Target="https://ckan0.cf.opendata.inter.prod-toronto.ca/api/3/action/datastore_search?resource_id=a96c0ba4-3026-402b-b09d-5b1268b8f810&amp;filters=%7B%22PERMIT_NUM%22%3A%2211+278026+BLD%22%7D" TargetMode="External" Id="rId630" /><Relationship Type="http://schemas.openxmlformats.org/officeDocument/2006/relationships/hyperlink" Target="https://www.toronto.ca/services-payments/building-construction/building-permit/before-you-apply-for-a-building-permit/preliminary-zoning-reviews-information/request-building-records/" TargetMode="External" Id="rId631" /><Relationship Type="http://schemas.openxmlformats.org/officeDocument/2006/relationships/hyperlink" Target="https://www.google.com/maps/search/?api=1&amp;query=43.6713279280708,-79.4376490428133" TargetMode="External" Id="rId632" /><Relationship Type="http://schemas.openxmlformats.org/officeDocument/2006/relationships/hyperlink" Target="https://ckan0.cf.opendata.inter.prod-toronto.ca/api/3/action/datastore_search?resource_id=a96c0ba4-3026-402b-b09d-5b1268b8f810&amp;filters=%7B%22PERMIT_NUM%22%3A%5B%2218+110283+BLD%22%2C%2218+110283+HVA%22%2C%2218+110283+PLB%22%5D%7D" TargetMode="External" Id="rId633" /><Relationship Type="http://schemas.openxmlformats.org/officeDocument/2006/relationships/hyperlink" Target="https://www.toronto.ca/services-payments/building-construction/building-permit/before-you-apply-for-a-building-permit/preliminary-zoning-reviews-information/request-building-records/" TargetMode="External" Id="rId634" /><Relationship Type="http://schemas.openxmlformats.org/officeDocument/2006/relationships/hyperlink" Target="https://www.google.com/maps/search/?api=1&amp;query=43.6708712344915,-79.4381919871248" TargetMode="External" Id="rId635" /><Relationship Type="http://schemas.openxmlformats.org/officeDocument/2006/relationships/hyperlink" Target="https://ckan0.cf.opendata.inter.prod-toronto.ca/api/3/action/datastore_search?resource_id=a96c0ba4-3026-402b-b09d-5b1268b8f810&amp;filters=%7B%22PERMIT_NUM%22%3A%2222+159322+DRN%22%7D" TargetMode="External" Id="rId636" /><Relationship Type="http://schemas.openxmlformats.org/officeDocument/2006/relationships/hyperlink" Target="https://www.toronto.ca/services-payments/building-construction/building-permit/before-you-apply-for-a-building-permit/preliminary-zoning-reviews-information/request-building-records/" TargetMode="External" Id="rId637" /><Relationship Type="http://schemas.openxmlformats.org/officeDocument/2006/relationships/hyperlink" Target="https://www.google.com/maps/search/?api=1&amp;query=43.6721111585679,-79.4387777790282" TargetMode="External" Id="rId638" /><Relationship Type="http://schemas.openxmlformats.org/officeDocument/2006/relationships/hyperlink" Target="https://ckan0.cf.opendata.inter.prod-toronto.ca/api/3/action/datastore_search?resource_id=6d0229af-bc54-46de-9c2b-26759b01dd05&amp;filters=%7B%22PERMIT_NUM%22%3A%2208+178788+BLD%22%7D" TargetMode="External" Id="rId639" /><Relationship Type="http://schemas.openxmlformats.org/officeDocument/2006/relationships/hyperlink" Target="https://www.toronto.ca/services-payments/building-construction/building-permit/before-you-apply-for-a-building-permit/preliminary-zoning-reviews-information/request-building-records/" TargetMode="External" Id="rId640" /><Relationship Type="http://schemas.openxmlformats.org/officeDocument/2006/relationships/hyperlink" Target="https://www.google.com/maps/search/?api=1&amp;query=43.6721111585679,-79.4387777790282" TargetMode="External" Id="rId641" /><Relationship Type="http://schemas.openxmlformats.org/officeDocument/2006/relationships/hyperlink" Target="https://ckan0.cf.opendata.inter.prod-toronto.ca/api/3/action/datastore_search?resource_id=a96c0ba4-3026-402b-b09d-5b1268b8f810&amp;filters=%7B%22PERMIT_NUM%22%3A%2217+174537+DRN%22%7D" TargetMode="External" Id="rId642" /><Relationship Type="http://schemas.openxmlformats.org/officeDocument/2006/relationships/hyperlink" Target="https://www.toronto.ca/services-payments/building-construction/building-permit/before-you-apply-for-a-building-permit/preliminary-zoning-reviews-information/request-building-records/" TargetMode="External" Id="rId643" /><Relationship Type="http://schemas.openxmlformats.org/officeDocument/2006/relationships/hyperlink" Target="https://www.google.com/maps/search/?api=1&amp;query=43.6712612078617,-79.4376117109312" TargetMode="External" Id="rId644" /><Relationship Type="http://schemas.openxmlformats.org/officeDocument/2006/relationships/hyperlink" Target="https://ckan0.cf.opendata.inter.prod-toronto.ca/api/3/action/datastore_search?resource_id=6d0229af-bc54-46de-9c2b-26759b01dd05&amp;filters=%7B%22PERMIT_NUM%22%3A%2211+206467+BLD%22%7D" TargetMode="External" Id="rId645" /><Relationship Type="http://schemas.openxmlformats.org/officeDocument/2006/relationships/hyperlink" Target="https://www.toronto.ca/services-payments/building-construction/building-permit/before-you-apply-for-a-building-permit/preliminary-zoning-reviews-information/request-building-records/" TargetMode="External" Id="rId646" /><Relationship Type="http://schemas.openxmlformats.org/officeDocument/2006/relationships/hyperlink" Target="https://www.google.com/maps/search/?api=1&amp;query=43.6712612078617,-79.4376117109312" TargetMode="External" Id="rId647" /><Relationship Type="http://schemas.openxmlformats.org/officeDocument/2006/relationships/hyperlink" Target="https://ckan0.cf.opendata.inter.prod-toronto.ca/api/3/action/datastore_search?resource_id=a96c0ba4-3026-402b-b09d-5b1268b8f810&amp;filters=%7B%22PERMIT_NUM%22%3A%2218+111028+BLD%22%7D" TargetMode="External" Id="rId648" /><Relationship Type="http://schemas.openxmlformats.org/officeDocument/2006/relationships/hyperlink" Target="https://www.toronto.ca/services-payments/building-construction/building-permit/before-you-apply-for-a-building-permit/preliminary-zoning-reviews-information/request-building-records/" TargetMode="External" Id="rId649" /><Relationship Type="http://schemas.openxmlformats.org/officeDocument/2006/relationships/hyperlink" Target="https://www.google.com/maps/search/?api=1&amp;query=43.6712020812332,-79.4375844035361" TargetMode="External" Id="rId650" /><Relationship Type="http://schemas.openxmlformats.org/officeDocument/2006/relationships/hyperlink" Target="https://ckan0.cf.opendata.inter.prod-toronto.ca/api/3/action/datastore_search?resource_id=a96c0ba4-3026-402b-b09d-5b1268b8f810&amp;filters=%7B%22PERMIT_NUM%22%3A%2210+231223+BLD%22%7D" TargetMode="External" Id="rId651" /><Relationship Type="http://schemas.openxmlformats.org/officeDocument/2006/relationships/hyperlink" Target="https://www.toronto.ca/services-payments/building-construction/building-permit/before-you-apply-for-a-building-permit/preliminary-zoning-reviews-information/request-building-records/" TargetMode="External" Id="rId652" /><Relationship Type="http://schemas.openxmlformats.org/officeDocument/2006/relationships/hyperlink" Target="https://www.google.com/maps/search/?api=1&amp;query=43.6720281981766,-79.4392254280194" TargetMode="External" Id="rId653" /><Relationship Type="http://schemas.openxmlformats.org/officeDocument/2006/relationships/hyperlink" Target="https://ckan0.cf.opendata.inter.prod-toronto.ca/api/3/action/datastore_search?resource_id=a96c0ba4-3026-402b-b09d-5b1268b8f810&amp;filters=%7B%22PERMIT_NUM%22%3A%5B%2224+253467+BLD%22%2C%2224+253467+DRN%22%2C%2224+253467+PLB%22%5D%7D" TargetMode="External" Id="rId654" /><Relationship Type="http://schemas.openxmlformats.org/officeDocument/2006/relationships/hyperlink" Target="https://www.toronto.ca/services-payments/building-construction/building-permit/before-you-apply-for-a-building-permit/preliminary-zoning-reviews-information/request-building-records/" TargetMode="External" Id="rId655" /><Relationship Type="http://schemas.openxmlformats.org/officeDocument/2006/relationships/hyperlink" Target="https://www.google.com/maps/search/?api=1&amp;query=43.6720978115124,-79.4392537933094" TargetMode="External" Id="rId656" /><Relationship Type="http://schemas.openxmlformats.org/officeDocument/2006/relationships/hyperlink" Target="https://ckan0.cf.opendata.inter.prod-toronto.ca/api/3/action/datastore_search?resource_id=a96c0ba4-3026-402b-b09d-5b1268b8f810&amp;filters=%7B%22PERMIT_NUM%22%3A%2212+106722+BLD%22%7D" TargetMode="External" Id="rId657" /><Relationship Type="http://schemas.openxmlformats.org/officeDocument/2006/relationships/hyperlink" Target="https://www.toronto.ca/services-payments/building-construction/building-permit/before-you-apply-for-a-building-permit/preliminary-zoning-reviews-information/request-building-records/" TargetMode="External" Id="rId658" /><Relationship Type="http://schemas.openxmlformats.org/officeDocument/2006/relationships/hyperlink" Target="https://www.google.com/maps/search/?api=1&amp;query=43.6720978115124,-79.4392537933094" TargetMode="External" Id="rId659" /><Relationship Type="http://schemas.openxmlformats.org/officeDocument/2006/relationships/hyperlink" Target="https://ckan0.cf.opendata.inter.prod-toronto.ca/api/3/action/datastore_search?resource_id=a96c0ba4-3026-402b-b09d-5b1268b8f810&amp;filters=%7B%22PERMIT_NUM%22%3A%5B%2223+212708+BLD%22%2C%2223+212708+DRN%22%2C%2223+212708+HVA%22%2C%2223+212708+PLB%22%5D%7D" TargetMode="External" Id="rId660" /><Relationship Type="http://schemas.openxmlformats.org/officeDocument/2006/relationships/hyperlink" Target="https://www.toronto.ca/services-payments/building-construction/building-permit/before-you-apply-for-a-building-permit/preliminary-zoning-reviews-information/request-building-records/" TargetMode="External" Id="rId661" /><Relationship Type="http://schemas.openxmlformats.org/officeDocument/2006/relationships/hyperlink" Target="https://www.google.com/maps/search/?api=1&amp;query=43.672134706478,-79.439284907475" TargetMode="External" Id="rId662" /><Relationship Type="http://schemas.openxmlformats.org/officeDocument/2006/relationships/hyperlink" Target="https://ckan0.cf.opendata.inter.prod-toronto.ca/api/3/action/datastore_search?resource_id=6d0229af-bc54-46de-9c2b-26759b01dd05&amp;filters=%7B%22PERMIT_NUM%22%3A%2214+224851+BLD%22%7D" TargetMode="External" Id="rId663" /><Relationship Type="http://schemas.openxmlformats.org/officeDocument/2006/relationships/hyperlink" Target="https://www.toronto.ca/services-payments/building-construction/building-permit/before-you-apply-for-a-building-permit/preliminary-zoning-reviews-information/request-building-records/" TargetMode="External" Id="rId664" /><Relationship Type="http://schemas.openxmlformats.org/officeDocument/2006/relationships/hyperlink" Target="https://www.google.com/maps/search/?api=1&amp;query=43.672134706478,-79.439284907475" TargetMode="External" Id="rId665" /><Relationship Type="http://schemas.openxmlformats.org/officeDocument/2006/relationships/hyperlink" Target="https://ckan0.cf.opendata.inter.prod-toronto.ca/api/3/action/datastore_search?resource_id=6d0229af-bc54-46de-9c2b-26759b01dd05&amp;filters=%7B%22PERMIT_NUM%22%3A%2298+019619+BLD%22%7D" TargetMode="External" Id="rId666" /><Relationship Type="http://schemas.openxmlformats.org/officeDocument/2006/relationships/hyperlink" Target="https://secure.toronto.ca/ApplicationStatus/setup.do?action=init" TargetMode="External" Id="rId667" /><Relationship Type="http://schemas.openxmlformats.org/officeDocument/2006/relationships/hyperlink" Target="https://www.google.com/maps/search/?api=1&amp;query=43.6717257985857,-79.437210207999" TargetMode="External" Id="rId668" /><Relationship Type="http://schemas.openxmlformats.org/officeDocument/2006/relationships/hyperlink" Target="https://ckan0.cf.opendata.inter.prod-toronto.ca/api/3/action/datastore_search?resource_id=6d0229af-bc54-46de-9c2b-26759b01dd05&amp;filters=%7B%22PERMIT_NUM%22%3A%2226+211066+BLD%22%7D" TargetMode="External" Id="rId669" /><Relationship Type="http://schemas.openxmlformats.org/officeDocument/2006/relationships/hyperlink" Target="https://www.toronto.ca/services-payments/building-construction/building-permit/before-you-apply-for-a-building-permit/preliminary-zoning-reviews-information/request-building-records/" TargetMode="External" Id="rId670" /><Relationship Type="http://schemas.openxmlformats.org/officeDocument/2006/relationships/hyperlink" Target="https://www.google.com/maps/search/?api=1&amp;query=43.6716157483644,-79.4371610786787" TargetMode="External" Id="rId671" /><Relationship Type="http://schemas.openxmlformats.org/officeDocument/2006/relationships/hyperlink" Target="https://ckan0.cf.opendata.inter.prod-toronto.ca/api/3/action/datastore_search?resource_id=a96c0ba4-3026-402b-b09d-5b1268b8f810&amp;filters=%7B%22PERMIT_NUM%22%3A%2206+132458+PLB%22%7D" TargetMode="External" Id="rId672" /><Relationship Type="http://schemas.openxmlformats.org/officeDocument/2006/relationships/hyperlink" Target="https://www.toronto.ca/services-payments/building-construction/building-permit/before-you-apply-for-a-building-permit/preliminary-zoning-reviews-information/request-building-records/" TargetMode="External" Id="rId673" /><Relationship Type="http://schemas.openxmlformats.org/officeDocument/2006/relationships/hyperlink" Target="https://www.google.com/maps/search/?api=1&amp;query=43.6708545444323,-79.4374444118539" TargetMode="External" Id="rId674" /><Relationship Type="http://schemas.openxmlformats.org/officeDocument/2006/relationships/hyperlink" Target="https://ckan0.cf.opendata.inter.prod-toronto.ca/api/3/action/datastore_search?resource_id=a96c0ba4-3026-402b-b09d-5b1268b8f810&amp;filters=%7B%22PERMIT_NUM%22%3A%2223+224359+DRN%22%7D" TargetMode="External" Id="rId675" /><Relationship Type="http://schemas.openxmlformats.org/officeDocument/2006/relationships/hyperlink" Target="https://www.toronto.ca/services-payments/building-construction/building-permit/before-you-apply-for-a-building-permit/preliminary-zoning-reviews-information/request-building-records/" TargetMode="External" Id="rId676" /><Relationship Type="http://schemas.openxmlformats.org/officeDocument/2006/relationships/hyperlink" Target="https://www.google.com/maps/search/?api=1&amp;query=43.6714937898,-79.4371127432284" TargetMode="External" Id="rId677" /><Relationship Type="http://schemas.openxmlformats.org/officeDocument/2006/relationships/hyperlink" Target="https://ckan0.cf.opendata.inter.prod-toronto.ca/api/3/action/datastore_search?resource_id=a96c0ba4-3026-402b-b09d-5b1268b8f810&amp;filters=%7B%22PERMIT_NUM%22%3A%2201+159011+CMB%22%7D" TargetMode="External" Id="rId678" /><Relationship Type="http://schemas.openxmlformats.org/officeDocument/2006/relationships/hyperlink" Target="https://www.toronto.ca/services-payments/building-construction/building-permit/before-you-apply-for-a-building-permit/preliminary-zoning-reviews-information/request-building-records/" TargetMode="External" Id="rId679" /><Relationship Type="http://schemas.openxmlformats.org/officeDocument/2006/relationships/hyperlink" Target="https://www.google.com/maps/search/?api=1&amp;query=43.6714479256476,-79.4370920444366" TargetMode="External" Id="rId680" /><Relationship Type="http://schemas.openxmlformats.org/officeDocument/2006/relationships/hyperlink" Target="https://ckan0.cf.opendata.inter.prod-toronto.ca/api/3/action/datastore_search?resource_id=a96c0ba4-3026-402b-b09d-5b1268b8f810&amp;filters=%7B%22PERMIT_NUM%22%3A%2209+193433+BLD%22%7D" TargetMode="External" Id="rId681" /><Relationship Type="http://schemas.openxmlformats.org/officeDocument/2006/relationships/hyperlink" Target="https://www.toronto.ca/services-payments/building-construction/building-permit/before-you-apply-for-a-building-permit/preliminary-zoning-reviews-information/request-building-records/" TargetMode="External" Id="rId682" /><Relationship Type="http://schemas.openxmlformats.org/officeDocument/2006/relationships/hyperlink" Target="https://www.google.com/maps/search/?api=1&amp;query=43.6714040272062,-79.4370775688624" TargetMode="External" Id="rId683" /><Relationship Type="http://schemas.openxmlformats.org/officeDocument/2006/relationships/hyperlink" Target="https://ckan0.cf.opendata.inter.prod-toronto.ca/api/3/action/datastore_search?resource_id=a96c0ba4-3026-402b-b09d-5b1268b8f810&amp;filters=%7B%22PERMIT_NUM%22%3A%2213+274601+PLB%22%7D" TargetMode="External" Id="rId684" /><Relationship Type="http://schemas.openxmlformats.org/officeDocument/2006/relationships/hyperlink" Target="https://secure.toronto.ca/ApplicationStatus/setup.do?action=init" TargetMode="External" Id="rId685" /><Relationship Type="http://schemas.openxmlformats.org/officeDocument/2006/relationships/hyperlink" Target="https://www.google.com/maps/search/?api=1&amp;query=43.6714040272062,-79.4370775688624" TargetMode="External" Id="rId686" /><Relationship Type="http://schemas.openxmlformats.org/officeDocument/2006/relationships/hyperlink" Target="https://ckan0.cf.opendata.inter.prod-toronto.ca/api/3/action/datastore_search?resource_id=6d0229af-bc54-46de-9c2b-26759b01dd05&amp;filters=%7B%22PERMIT_NUM%22%3A%2226+187553+DEM%22%7D" TargetMode="External" Id="rId687" /><Relationship Type="http://schemas.openxmlformats.org/officeDocument/2006/relationships/hyperlink" Target="https://secure.toronto.ca/ApplicationStatus/setup.do?action=init" TargetMode="External" Id="rId688" /><Relationship Type="http://schemas.openxmlformats.org/officeDocument/2006/relationships/hyperlink" Target="https://www.google.com/maps/search/?api=1&amp;query=43.6714040272062,-79.4370775688624" TargetMode="External" Id="rId689" /><Relationship Type="http://schemas.openxmlformats.org/officeDocument/2006/relationships/hyperlink" Target="https://ckan0.cf.opendata.inter.prod-toronto.ca/api/3/action/datastore_search?resource_id=6d0229af-bc54-46de-9c2b-26759b01dd05&amp;filters=%7B%22PERMIT_NUM%22%3A%5B%2226+187765+BLD%22%2C%2226+187765+DRN%22%2C%2226+187765+HVA%22%2C%2226+187765+PLB%22%5D%7D" TargetMode="External" Id="rId690" /><Relationship Type="http://schemas.openxmlformats.org/officeDocument/2006/relationships/hyperlink" Target="https://secure.toronto.ca/ApplicationStatus/setup.do?action=init" TargetMode="External" Id="rId691" /><Relationship Type="http://schemas.openxmlformats.org/officeDocument/2006/relationships/hyperlink" Target="https://www.google.com/maps/search/?api=1&amp;query=43.6714040272062,-79.4370775688624" TargetMode="External" Id="rId692" /><Relationship Type="http://schemas.openxmlformats.org/officeDocument/2006/relationships/hyperlink" Target="https://ckan0.cf.opendata.inter.prod-toronto.ca/api/3/action/datastore_search?resource_id=6d0229af-bc54-46de-9c2b-26759b01dd05&amp;filters=%7B%22PERMIT_NUM%22%3A%5B%2226+197125+BLD%22%2C%2226+197125+DRN%22%2C%2226+197125+HVA%22%2C%2226+197125+PLB%22%5D%7D" TargetMode="External" Id="rId693" /><Relationship Type="http://schemas.openxmlformats.org/officeDocument/2006/relationships/hyperlink" Target="https://www.toronto.ca/services-payments/building-construction/building-permit/before-you-apply-for-a-building-permit/preliminary-zoning-reviews-information/request-building-records/" TargetMode="External" Id="rId694" /><Relationship Type="http://schemas.openxmlformats.org/officeDocument/2006/relationships/hyperlink" Target="https://www.google.com/maps/search/?api=1&amp;query=43.6713692301514,-79.4370649935323" TargetMode="External" Id="rId695" /><Relationship Type="http://schemas.openxmlformats.org/officeDocument/2006/relationships/hyperlink" Target="https://ckan0.cf.opendata.inter.prod-toronto.ca/api/3/action/datastore_search?resource_id=a96c0ba4-3026-402b-b09d-5b1268b8f810&amp;filters=%7B%22PERMIT_NUM%22%3A%5B%2215+238645+BLD%22%2C%2215+238645+PLB%22%5D%7D" TargetMode="External" Id="rId696" /><Relationship Type="http://schemas.openxmlformats.org/officeDocument/2006/relationships/hyperlink" Target="https://secure.toronto.ca/ApplicationStatus/setup.do?action=init" TargetMode="External" Id="rId697" /><Relationship Type="http://schemas.openxmlformats.org/officeDocument/2006/relationships/hyperlink" Target="https://www.google.com/maps/search/?api=1&amp;query=43.6713692301514,-79.4370649935323" TargetMode="External" Id="rId698" /><Relationship Type="http://schemas.openxmlformats.org/officeDocument/2006/relationships/hyperlink" Target="https://ckan0.cf.opendata.inter.prod-toronto.ca/api/3/action/datastore_search?resource_id=6d0229af-bc54-46de-9c2b-26759b01dd05&amp;filters=%7B%22PERMIT_NUM%22%3A%5B%2226+187723+BLD%22%2C%2226+187723+DRN%22%2C%2226+187723+HVA%22%2C%2226+187723+PLB%22%5D%7D" TargetMode="External" Id="rId699" /><Relationship Type="http://schemas.openxmlformats.org/officeDocument/2006/relationships/hyperlink" Target="https://secure.toronto.ca/ApplicationStatus/setup.do?action=init" TargetMode="External" Id="rId700" /><Relationship Type="http://schemas.openxmlformats.org/officeDocument/2006/relationships/hyperlink" Target="https://www.google.com/maps/search/?api=1&amp;query=43.6713692301514,-79.4370649935323" TargetMode="External" Id="rId701" /><Relationship Type="http://schemas.openxmlformats.org/officeDocument/2006/relationships/hyperlink" Target="https://ckan0.cf.opendata.inter.prod-toronto.ca/api/3/action/datastore_search?resource_id=6d0229af-bc54-46de-9c2b-26759b01dd05&amp;filters=%7B%22PERMIT_NUM%22%3A%2226+193343+DEM%22%7D" TargetMode="External" Id="rId702" /><Relationship Type="http://schemas.openxmlformats.org/officeDocument/2006/relationships/hyperlink" Target="https://secure.toronto.ca/ApplicationStatus/setup.do?action=init" TargetMode="External" Id="rId703" /><Relationship Type="http://schemas.openxmlformats.org/officeDocument/2006/relationships/hyperlink" Target="https://www.google.com/maps/search/?api=1&amp;query=43.6713692301514,-79.4370649935323" TargetMode="External" Id="rId704" /><Relationship Type="http://schemas.openxmlformats.org/officeDocument/2006/relationships/hyperlink" Target="https://ckan0.cf.opendata.inter.prod-toronto.ca/api/3/action/datastore_search?resource_id=6d0229af-bc54-46de-9c2b-26759b01dd05&amp;filters=%7B%22PERMIT_NUM%22%3A%5B%2226+197091+BLD%22%2C%2226+197091+DRN%22%2C%2226+197091+HVA%22%2C%2226+197091+PLB%22%5D%7D" TargetMode="External" Id="rId705" /><Relationship Type="http://schemas.openxmlformats.org/officeDocument/2006/relationships/hyperlink" Target="https://www.toronto.ca/services-payments/building-construction/building-permit/before-you-apply-for-a-building-permit/preliminary-zoning-reviews-information/request-building-records/" TargetMode="External" Id="rId706" /><Relationship Type="http://schemas.openxmlformats.org/officeDocument/2006/relationships/hyperlink" Target="https://www.google.com/maps/search/?api=1&amp;query=43.672506730141,-79.4381410887096" TargetMode="External" Id="rId707" /><Relationship Type="http://schemas.openxmlformats.org/officeDocument/2006/relationships/hyperlink" Target="https://ckan0.cf.opendata.inter.prod-toronto.ca/api/3/action/datastore_search?resource_id=a96c0ba4-3026-402b-b09d-5b1268b8f810&amp;filters=%7B%22PERMIT_NUM%22%3A%2217+130973+BLD%22%7D" TargetMode="External" Id="rId708" /><Relationship Type="http://schemas.openxmlformats.org/officeDocument/2006/relationships/hyperlink" Target="https://www.toronto.ca/services-payments/building-construction/building-permit/before-you-apply-for-a-building-permit/preliminary-zoning-reviews-information/request-building-records/" TargetMode="External" Id="rId709" /><Relationship Type="http://schemas.openxmlformats.org/officeDocument/2006/relationships/hyperlink" Target="https://www.google.com/maps/search/?api=1&amp;query=43.6712109510117,-79.4399433186461" TargetMode="External" Id="rId710" /><Relationship Type="http://schemas.openxmlformats.org/officeDocument/2006/relationships/hyperlink" Target="https://ckan0.cf.opendata.inter.prod-toronto.ca/api/3/action/datastore_search?resource_id=a96c0ba4-3026-402b-b09d-5b1268b8f810&amp;filters=%7B%22PERMIT_NUM%22%3A%5B%2219+142465+BLD%22%2C%2219+142465+HVA%22%2C%2219+142465+PLB%22%5D%7D" TargetMode="External" Id="rId711" /><Relationship Type="http://schemas.openxmlformats.org/officeDocument/2006/relationships/hyperlink" Target="https://secure.toronto.ca/ApplicationStatus/setup.do?action=init" TargetMode="External" Id="rId712" /><Relationship Type="http://schemas.openxmlformats.org/officeDocument/2006/relationships/hyperlink" Target="https://www.google.com/maps/search/?api=1&amp;query=43.6712109510117,-79.4399433186461" TargetMode="External" Id="rId713" /><Relationship Type="http://schemas.openxmlformats.org/officeDocument/2006/relationships/hyperlink" Target="https://ckan0.cf.opendata.inter.prod-toronto.ca/api/3/action/datastore_search?resource_id=6d0229af-bc54-46de-9c2b-26759b01dd05&amp;filters=%7B%22PERMIT_NUM%22%3A%2225+221950+DEM%22%7D" TargetMode="External" Id="rId714" /><Relationship Type="http://schemas.openxmlformats.org/officeDocument/2006/relationships/hyperlink" Target="https://www.toronto.ca/services-payments/building-construction/building-permit/before-you-apply-for-a-building-permit/preliminary-zoning-reviews-information/request-building-records/" TargetMode="External" Id="rId715" /><Relationship Type="http://schemas.openxmlformats.org/officeDocument/2006/relationships/hyperlink" Target="https://www.google.com/maps/search/?api=1&amp;query=43.6725149334796,-79.4389337465072" TargetMode="External" Id="rId716" /><Relationship Type="http://schemas.openxmlformats.org/officeDocument/2006/relationships/hyperlink" Target="https://ckan0.cf.opendata.inter.prod-toronto.ca/api/3/action/datastore_search?resource_id=a96c0ba4-3026-402b-b09d-5b1268b8f810&amp;filters=%7B%22PERMIT_NUM%22%3A%2218+215034+BLD%22%7D" TargetMode="External" Id="rId717" /><Relationship Type="http://schemas.openxmlformats.org/officeDocument/2006/relationships/hyperlink" Target="https://www.toronto.ca/services-payments/building-construction/building-permit/before-you-apply-for-a-building-permit/preliminary-zoning-reviews-information/request-building-records/" TargetMode="External" Id="rId718" /><Relationship Type="http://schemas.openxmlformats.org/officeDocument/2006/relationships/hyperlink" Target="https://www.google.com/maps/search/?api=1&amp;query=43.6715320979239,-79.4400243483336" TargetMode="External" Id="rId719" /><Relationship Type="http://schemas.openxmlformats.org/officeDocument/2006/relationships/hyperlink" Target="https://ckan0.cf.opendata.inter.prod-toronto.ca/api/3/action/datastore_search?resource_id=a96c0ba4-3026-402b-b09d-5b1268b8f810&amp;filters=%7B%22PERMIT_NUM%22%3A%2218+208334+DRN%22%7D" TargetMode="External" Id="rId720" /><Relationship Type="http://schemas.openxmlformats.org/officeDocument/2006/relationships/hyperlink" Target="https://www.toronto.ca/services-payments/building-construction/building-permit/before-you-apply-for-a-building-permit/preliminary-zoning-reviews-information/request-building-records/" TargetMode="External" Id="rId721" /><Relationship Type="http://schemas.openxmlformats.org/officeDocument/2006/relationships/hyperlink" Target="https://www.google.com/maps/search/?api=1&amp;query=43.6714366616875,-79.4400164199987" TargetMode="External" Id="rId722" /><Relationship Type="http://schemas.openxmlformats.org/officeDocument/2006/relationships/hyperlink" Target="https://ckan0.cf.opendata.inter.prod-toronto.ca/api/3/action/datastore_search?resource_id=a96c0ba4-3026-402b-b09d-5b1268b8f810&amp;filters=%7B%22PERMIT_NUM%22%3A%2296+021127+BLD%22%7D" TargetMode="External" Id="rId723" /><Relationship Type="http://schemas.openxmlformats.org/officeDocument/2006/relationships/hyperlink" Target="https://www.toronto.ca/services-payments/building-construction/building-permit/before-you-apply-for-a-building-permit/preliminary-zoning-reviews-information/request-building-records/" TargetMode="External" Id="rId724" /><Relationship Type="http://schemas.openxmlformats.org/officeDocument/2006/relationships/hyperlink" Target="https://www.google.com/maps/search/?api=1&amp;query=43.6709411488585,-79.4398475684303" TargetMode="External" Id="rId725" /><Relationship Type="http://schemas.openxmlformats.org/officeDocument/2006/relationships/hyperlink" Target="https://ckan0.cf.opendata.inter.prod-toronto.ca/api/3/action/datastore_search?resource_id=6d0229af-bc54-46de-9c2b-26759b01dd05&amp;filters=%7B%22PERMIT_NUM%22%3A%5B%2212+296211+BLD%22%2C%2212+296211+HVA%22%5D%7D" TargetMode="External" Id="rId726" /><Relationship Type="http://schemas.openxmlformats.org/officeDocument/2006/relationships/hyperlink" Target="https://www.toronto.ca/services-payments/building-construction/building-permit/before-you-apply-for-a-building-permit/preliminary-zoning-reviews-information/request-building-records/" TargetMode="External" Id="rId727" /><Relationship Type="http://schemas.openxmlformats.org/officeDocument/2006/relationships/hyperlink" Target="https://www.google.com/maps/search/?api=1&amp;query=43.6725567981149,-79.4389496022858" TargetMode="External" Id="rId728" /><Relationship Type="http://schemas.openxmlformats.org/officeDocument/2006/relationships/hyperlink" Target="https://ckan0.cf.opendata.inter.prod-toronto.ca/api/3/action/datastore_search?resource_id=a96c0ba4-3026-402b-b09d-5b1268b8f810&amp;filters=%7B%22PERMIT_NUM%22%3A%5B%2218+210992+BLD%22%2C%2218+210992+PLB%22%5D%7D" TargetMode="External" Id="rId729" /><Relationship Type="http://schemas.openxmlformats.org/officeDocument/2006/relationships/hyperlink" Target="https://www.toronto.ca/services-payments/building-construction/building-permit/before-you-apply-for-a-building-permit/preliminary-zoning-reviews-information/request-building-records/" TargetMode="External" Id="rId730" /><Relationship Type="http://schemas.openxmlformats.org/officeDocument/2006/relationships/hyperlink" Target="https://www.google.com/maps/search/?api=1&amp;query=43.6723182558624,-79.4374545733535" TargetMode="External" Id="rId731" /><Relationship Type="http://schemas.openxmlformats.org/officeDocument/2006/relationships/hyperlink" Target="https://ckan0.cf.opendata.inter.prod-toronto.ca/api/3/action/datastore_search?resource_id=a96c0ba4-3026-402b-b09d-5b1268b8f810&amp;filters=%7B%22PERMIT_NUM%22%3A%2221+146925+BLD%22%7D" TargetMode="External" Id="rId732" /><Relationship Type="http://schemas.openxmlformats.org/officeDocument/2006/relationships/hyperlink" Target="https://www.toronto.ca/services-payments/building-construction/building-permit/before-you-apply-for-a-building-permit/preliminary-zoning-reviews-information/request-building-records/" TargetMode="External" Id="rId733" /><Relationship Type="http://schemas.openxmlformats.org/officeDocument/2006/relationships/hyperlink" Target="https://www.google.com/maps/search/?api=1&amp;query=43.6723572762794,-79.4374704186042" TargetMode="External" Id="rId734" /><Relationship Type="http://schemas.openxmlformats.org/officeDocument/2006/relationships/hyperlink" Target="https://ckan0.cf.opendata.inter.prod-toronto.ca/api/3/action/datastore_search?resource_id=a96c0ba4-3026-402b-b09d-5b1268b8f810&amp;filters=%7B%22PERMIT_NUM%22%3A%5B%2221+140865+BLD%22%2C%2221+140865+DRN%22%2C%2221+140865+PLB%22%5D%7D" TargetMode="External" Id="rId735" /><Relationship Type="http://schemas.openxmlformats.org/officeDocument/2006/relationships/hyperlink" Target="https://secure.toronto.ca/ApplicationStatus/setup.do?action=init" TargetMode="External" Id="rId736" /><Relationship Type="http://schemas.openxmlformats.org/officeDocument/2006/relationships/hyperlink" Target="https://www.google.com/maps/search/?api=1&amp;query=43.6703052755048,-79.4384915971825" TargetMode="External" Id="rId737" /><Relationship Type="http://schemas.openxmlformats.org/officeDocument/2006/relationships/hyperlink" Target="https://ckan0.cf.opendata.inter.prod-toronto.ca/api/3/action/datastore_search?resource_id=a96c0ba4-3026-402b-b09d-5b1268b8f810&amp;filters=%7B%22PERMIT_NUM%22%3A%2210+168585+PLB%22%7D" TargetMode="External" Id="rId738" /><Relationship Type="http://schemas.openxmlformats.org/officeDocument/2006/relationships/hyperlink" Target="https://secure.toronto.ca/ApplicationStatus/setup.do?action=init" TargetMode="External" Id="rId739" /><Relationship Type="http://schemas.openxmlformats.org/officeDocument/2006/relationships/hyperlink" Target="https://www.google.com/maps/search/?api=1&amp;query=43.6726141575099,-79.438854067877" TargetMode="External" Id="rId740" /><Relationship Type="http://schemas.openxmlformats.org/officeDocument/2006/relationships/hyperlink" Target="https://ckan0.cf.opendata.inter.prod-toronto.ca/api/3/action/datastore_search?resource_id=6d0229af-bc54-46de-9c2b-26759b01dd05&amp;filters=%7B%22PERMIT_NUM%22%3A%5B%2216+108879+BLD%22%2C%2216+108879+HVA%22%5D%7D" TargetMode="External" Id="rId741" /><Relationship Type="http://schemas.openxmlformats.org/officeDocument/2006/relationships/hyperlink" Target="https://secure.toronto.ca/ApplicationStatus/setup.do?action=init" TargetMode="External" Id="rId742" /><Relationship Type="http://schemas.openxmlformats.org/officeDocument/2006/relationships/hyperlink" Target="https://www.google.com/maps/search/?api=1&amp;query=43.6726141575099,-79.438854067877" TargetMode="External" Id="rId743" /><Relationship Type="http://schemas.openxmlformats.org/officeDocument/2006/relationships/hyperlink" Target="https://ckan0.cf.opendata.inter.prod-toronto.ca/api/3/action/datastore_search?resource_id=6d0229af-bc54-46de-9c2b-26759b01dd05&amp;filters=%7B%22PERMIT_NUM%22%3A%2225+115100+BLD%22%7D" TargetMode="External" Id="rId744" /><Relationship Type="http://schemas.openxmlformats.org/officeDocument/2006/relationships/hyperlink" Target="https://www.toronto.ca/services-payments/building-construction/building-permit/before-you-apply-for-a-building-permit/preliminary-zoning-reviews-information/request-building-records/" TargetMode="External" Id="rId745" /><Relationship Type="http://schemas.openxmlformats.org/officeDocument/2006/relationships/hyperlink" Target="https://www.google.com/maps/search/?api=1&amp;query=43.6710804901826,-79.4369753769768" TargetMode="External" Id="rId746" /><Relationship Type="http://schemas.openxmlformats.org/officeDocument/2006/relationships/hyperlink" Target="https://ckan0.cf.opendata.inter.prod-toronto.ca/api/3/action/datastore_search?resource_id=a96c0ba4-3026-402b-b09d-5b1268b8f810&amp;filters=%7B%22PERMIT_NUM%22%3A%2220+113207+BLD%22%7D" TargetMode="External" Id="rId747" /><Relationship Type="http://schemas.openxmlformats.org/officeDocument/2006/relationships/hyperlink" Target="https://www.toronto.ca/services-payments/building-construction/building-permit/before-you-apply-for-a-building-permit/preliminary-zoning-reviews-information/request-building-records/" TargetMode="External" Id="rId748" /><Relationship Type="http://schemas.openxmlformats.org/officeDocument/2006/relationships/hyperlink" Target="https://www.google.com/maps/search/?api=1&amp;query=43.6710804901826,-79.4369753769768" TargetMode="External" Id="rId749" /><Relationship Type="http://schemas.openxmlformats.org/officeDocument/2006/relationships/hyperlink" Target="https://ckan0.cf.opendata.inter.prod-toronto.ca/api/3/action/datastore_search?resource_id=a96c0ba4-3026-402b-b09d-5b1268b8f810&amp;filters=%7B%22PERMIT_NUM%22%3A%2297+025419+BLD%22%7D" TargetMode="External" Id="rId750" /><Relationship Type="http://schemas.openxmlformats.org/officeDocument/2006/relationships/hyperlink" Target="https://www.toronto.ca/services-payments/building-construction/building-permit/before-you-apply-for-a-building-permit/preliminary-zoning-reviews-information/request-building-records/" TargetMode="External" Id="rId751" /><Relationship Type="http://schemas.openxmlformats.org/officeDocument/2006/relationships/hyperlink" Target="https://www.google.com/maps/search/?api=1&amp;query=43.6710804901826,-79.4369753769768" TargetMode="External" Id="rId752" /><Relationship Type="http://schemas.openxmlformats.org/officeDocument/2006/relationships/hyperlink" Target="https://ckan0.cf.opendata.inter.prod-toronto.ca/api/3/action/datastore_search?resource_id=6d0229af-bc54-46de-9c2b-26759b01dd05&amp;filters=%7B%22PERMIT_NUM%22%3A%2298+014974+BLD%22%7D" TargetMode="External" Id="rId753" /><Relationship Type="http://schemas.openxmlformats.org/officeDocument/2006/relationships/hyperlink" Target="https://www.toronto.ca/services-payments/building-construction/building-permit/before-you-apply-for-a-building-permit/preliminary-zoning-reviews-information/request-building-records/" TargetMode="External" Id="rId754" /><Relationship Type="http://schemas.openxmlformats.org/officeDocument/2006/relationships/hyperlink" Target="https://www.google.com/maps/search/?api=1&amp;query=43.6723974400448,-79.4374865975177" TargetMode="External" Id="rId755" /><Relationship Type="http://schemas.openxmlformats.org/officeDocument/2006/relationships/hyperlink" Target="https://ckan0.cf.opendata.inter.prod-toronto.ca/api/3/action/datastore_search?resource_id=a96c0ba4-3026-402b-b09d-5b1268b8f810&amp;filters=%7B%22PERMIT_NUM%22%3A%2221+146928+BLD%22%7D" TargetMode="External" Id="rId756" /><Relationship Type="http://schemas.openxmlformats.org/officeDocument/2006/relationships/hyperlink" Target="https://www.toronto.ca/services-payments/building-construction/building-permit/before-you-apply-for-a-building-permit/preliminary-zoning-reviews-information/request-building-records/" TargetMode="External" Id="rId757" /><Relationship Type="http://schemas.openxmlformats.org/officeDocument/2006/relationships/hyperlink" Target="https://www.google.com/maps/search/?api=1&amp;query=43.6715507159257,-79.4401507818358" TargetMode="External" Id="rId758" /><Relationship Type="http://schemas.openxmlformats.org/officeDocument/2006/relationships/hyperlink" Target="https://ckan0.cf.opendata.inter.prod-toronto.ca/api/3/action/datastore_search?resource_id=a96c0ba4-3026-402b-b09d-5b1268b8f810&amp;filters=%7B%22PERMIT_NUM%22%3A%5B%2213+216214+BLD%22%2C%2213+216214+HVA%22%2C%2213+216214+PLB%22%5D%7D" TargetMode="External" Id="rId759" /><Relationship Type="http://schemas.openxmlformats.org/officeDocument/2006/relationships/hyperlink" Target="https://www.toronto.ca/services-payments/building-construction/building-permit/before-you-apply-for-a-building-permit/preliminary-zoning-reviews-information/request-building-records/" TargetMode="External" Id="rId760" /><Relationship Type="http://schemas.openxmlformats.org/officeDocument/2006/relationships/hyperlink" Target="https://www.google.com/maps/search/?api=1&amp;query=43.6716558099277,-79.4401574731107" TargetMode="External" Id="rId761" /><Relationship Type="http://schemas.openxmlformats.org/officeDocument/2006/relationships/hyperlink" Target="https://ckan0.cf.opendata.inter.prod-toronto.ca/api/3/action/datastore_search?resource_id=a96c0ba4-3026-402b-b09d-5b1268b8f810&amp;filters=%7B%22PERMIT_NUM%22%3A%5B%2221+106363+BLD%22%2C%2221+106363+DRN%22%2C%2221+106363+HVA%22%2C%2221+106363+PLB%22%5D%7D" TargetMode="External" Id="rId762" /><Relationship Type="http://schemas.openxmlformats.org/officeDocument/2006/relationships/hyperlink" Target="https://www.toronto.ca/services-payments/building-construction/building-permit/before-you-apply-for-a-building-permit/preliminary-zoning-reviews-information/request-building-records/" TargetMode="External" Id="rId763" /><Relationship Type="http://schemas.openxmlformats.org/officeDocument/2006/relationships/hyperlink" Target="https://www.google.com/maps/search/?api=1&amp;query=43.671594469561,-79.4401645033733" TargetMode="External" Id="rId764" /><Relationship Type="http://schemas.openxmlformats.org/officeDocument/2006/relationships/hyperlink" Target="https://ckan0.cf.opendata.inter.prod-toronto.ca/api/3/action/datastore_search?resource_id=a96c0ba4-3026-402b-b09d-5b1268b8f810&amp;filters=%7B%22PERMIT_NUM%22%3A%5B%2224+245671+BLD%22%2C%2224+245671+DRN%22%5D%7D" TargetMode="External" Id="rId765" /><Relationship Type="http://schemas.openxmlformats.org/officeDocument/2006/relationships/hyperlink" Target="https://www.toronto.ca/services-payments/building-construction/building-permit/before-you-apply-for-a-building-permit/preliminary-zoning-reviews-information/request-building-records/" TargetMode="External" Id="rId766" /><Relationship Type="http://schemas.openxmlformats.org/officeDocument/2006/relationships/hyperlink" Target="https://www.google.com/maps/search/?api=1&amp;query=43.6724477893119,-79.4375119302896" TargetMode="External" Id="rId767" /><Relationship Type="http://schemas.openxmlformats.org/officeDocument/2006/relationships/hyperlink" Target="https://ckan0.cf.opendata.inter.prod-toronto.ca/api/3/action/datastore_search?resource_id=a96c0ba4-3026-402b-b09d-5b1268b8f810&amp;filters=%7B%22PERMIT_NUM%22%3A%2215+241718+BLD%22%7D" TargetMode="External" Id="rId768" /><Relationship Type="http://schemas.openxmlformats.org/officeDocument/2006/relationships/hyperlink" Target="https://www.toronto.ca/services-payments/building-construction/building-permit/before-you-apply-for-a-building-permit/preliminary-zoning-reviews-information/request-building-records/" TargetMode="External" Id="rId769" /><Relationship Type="http://schemas.openxmlformats.org/officeDocument/2006/relationships/hyperlink" Target="https://www.google.com/maps/search/?api=1&amp;query=43.6726963374797,-79.4382806176295" TargetMode="External" Id="rId770" /><Relationship Type="http://schemas.openxmlformats.org/officeDocument/2006/relationships/hyperlink" Target="https://ckan0.cf.opendata.inter.prod-toronto.ca/api/3/action/datastore_search?resource_id=a96c0ba4-3026-402b-b09d-5b1268b8f810&amp;filters=%7B%22PERMIT_NUM%22%3A%2216+141566+BLD%22%7D" TargetMode="External" Id="rId771" /><Relationship Type="http://schemas.openxmlformats.org/officeDocument/2006/relationships/hyperlink" Target="https://www.toronto.ca/services-payments/building-construction/building-permit/before-you-apply-for-a-building-permit/preliminary-zoning-reviews-information/request-building-records/" TargetMode="External" Id="rId772" /><Relationship Type="http://schemas.openxmlformats.org/officeDocument/2006/relationships/hyperlink" Target="https://www.google.com/maps/search/?api=1&amp;query=43.6725063388983,-79.4375374778186" TargetMode="External" Id="rId773" /><Relationship Type="http://schemas.openxmlformats.org/officeDocument/2006/relationships/hyperlink" Target="https://ckan0.cf.opendata.inter.prod-toronto.ca/api/3/action/datastore_search?resource_id=a96c0ba4-3026-402b-b09d-5b1268b8f810&amp;filters=%7B%22PERMIT_NUM%22%3A%2210+263908+PLB%22%7D" TargetMode="External" Id="rId774" /><Relationship Type="http://schemas.openxmlformats.org/officeDocument/2006/relationships/hyperlink" Target="https://www.toronto.ca/services-payments/building-construction/building-permit/before-you-apply-for-a-building-permit/preliminary-zoning-reviews-information/request-building-records/" TargetMode="External" Id="rId775" /><Relationship Type="http://schemas.openxmlformats.org/officeDocument/2006/relationships/hyperlink" Target="https://www.google.com/maps/search/?api=1&amp;query=43.6725472385172,-79.437615487996" TargetMode="External" Id="rId776" /><Relationship Type="http://schemas.openxmlformats.org/officeDocument/2006/relationships/hyperlink" Target="https://ckan0.cf.opendata.inter.prod-toronto.ca/api/3/action/datastore_search?resource_id=a96c0ba4-3026-402b-b09d-5b1268b8f810&amp;filters=%7B%22PERMIT_NUM%22%3A%2224+108608+DRN%22%7D" TargetMode="External" Id="rId777" /><Relationship Type="http://schemas.openxmlformats.org/officeDocument/2006/relationships/hyperlink" Target="https://www.toronto.ca/services-payments/building-construction/building-permit/before-you-apply-for-a-building-permit/preliminary-zoning-reviews-information/request-building-records/" TargetMode="External" Id="rId778" /><Relationship Type="http://schemas.openxmlformats.org/officeDocument/2006/relationships/hyperlink" Target="https://www.google.com/maps/search/?api=1&amp;query=43.6727400640662,-79.4383105339995" TargetMode="External" Id="rId779" /><Relationship Type="http://schemas.openxmlformats.org/officeDocument/2006/relationships/hyperlink" Target="https://ckan0.cf.opendata.inter.prod-toronto.ca/api/3/action/datastore_search?resource_id=a96c0ba4-3026-402b-b09d-5b1268b8f810&amp;filters=%7B%22PERMIT_NUM%22%3A%5B%2216+141564+BLD%22%2C%2216+141564+PLB%22%5D%7D" TargetMode="External" Id="rId780" /><Relationship Type="http://schemas.openxmlformats.org/officeDocument/2006/relationships/hyperlink" Target="https://www.toronto.ca/services-payments/building-construction/building-permit/before-you-apply-for-a-building-permit/preliminary-zoning-reviews-information/request-building-records/" TargetMode="External" Id="rId781" /><Relationship Type="http://schemas.openxmlformats.org/officeDocument/2006/relationships/hyperlink" Target="https://www.google.com/maps/search/?api=1&amp;query=43.670231675765,-79.4379496157968" TargetMode="External" Id="rId782" /><Relationship Type="http://schemas.openxmlformats.org/officeDocument/2006/relationships/hyperlink" Target="https://ckan0.cf.opendata.inter.prod-toronto.ca/api/3/action/datastore_search?resource_id=a96c0ba4-3026-402b-b09d-5b1268b8f810&amp;filters=%7B%22PERMIT_NUM%22%3A%2224+154743+DEM%22%7D" TargetMode="External" Id="rId783" /><Relationship Type="http://schemas.openxmlformats.org/officeDocument/2006/relationships/hyperlink" Target="https://secure.toronto.ca/ApplicationStatus/setup.do?action=init" TargetMode="External" Id="rId784" /><Relationship Type="http://schemas.openxmlformats.org/officeDocument/2006/relationships/hyperlink" Target="https://www.google.com/maps/search/?api=1&amp;query=43.670231675765,-79.4379496157968" TargetMode="External" Id="rId785" /><Relationship Type="http://schemas.openxmlformats.org/officeDocument/2006/relationships/hyperlink" Target="https://ckan0.cf.opendata.inter.prod-toronto.ca/api/3/action/datastore_search?resource_id=6d0229af-bc54-46de-9c2b-26759b01dd05&amp;filters=%7B%22PERMIT_NUM%22%3A%5B%2224+154760+BLD%22%2C%2224+154760+HVA%22%2C%2224+154760+PLB%22%5D%7D" TargetMode="External" Id="rId786" /><Relationship Type="http://schemas.openxmlformats.org/officeDocument/2006/relationships/hyperlink" Target="https://www.toronto.ca/services-payments/building-construction/building-permit/before-you-apply-for-a-building-permit/preliminary-zoning-reviews-information/request-building-records/" TargetMode="External" Id="rId787" /><Relationship Type="http://schemas.openxmlformats.org/officeDocument/2006/relationships/hyperlink" Target="https://www.google.com/maps/search/?api=1&amp;query=43.6727590230017,-79.4390359945572" TargetMode="External" Id="rId788" /><Relationship Type="http://schemas.openxmlformats.org/officeDocument/2006/relationships/hyperlink" Target="https://ckan0.cf.opendata.inter.prod-toronto.ca/api/3/action/datastore_search?resource_id=a96c0ba4-3026-402b-b09d-5b1268b8f810&amp;filters=%7B%22PERMIT_NUM%22%3A%2212+181502+PSA%22%7D" TargetMode="External" Id="rId789" /><Relationship Type="http://schemas.openxmlformats.org/officeDocument/2006/relationships/hyperlink" Target="https://www.toronto.ca/services-payments/building-construction/building-permit/before-you-apply-for-a-building-permit/preliminary-zoning-reviews-information/request-building-records/" TargetMode="External" Id="rId790" /><Relationship Type="http://schemas.openxmlformats.org/officeDocument/2006/relationships/hyperlink" Target="https://www.google.com/maps/search/?api=1&amp;query=43.6719761905478,-79.4402193705627" TargetMode="External" Id="rId791" /><Relationship Type="http://schemas.openxmlformats.org/officeDocument/2006/relationships/hyperlink" Target="https://ckan0.cf.opendata.inter.prod-toronto.ca/api/3/action/datastore_search?resource_id=a96c0ba4-3026-402b-b09d-5b1268b8f810&amp;filters=%7B%22PERMIT_NUM%22%3A%2214+251151+DEM%22%7D" TargetMode="External" Id="rId792" /><Relationship Type="http://schemas.openxmlformats.org/officeDocument/2006/relationships/hyperlink" Target="https://www.toronto.ca/services-payments/building-construction/building-permit/before-you-apply-for-a-building-permit/preliminary-zoning-reviews-information/request-building-records/" TargetMode="External" Id="rId793" /><Relationship Type="http://schemas.openxmlformats.org/officeDocument/2006/relationships/hyperlink" Target="https://www.google.com/maps/search/?api=1&amp;query=43.6727590230017,-79.4390359945572" TargetMode="External" Id="rId794" /><Relationship Type="http://schemas.openxmlformats.org/officeDocument/2006/relationships/hyperlink" Target="https://ckan0.cf.opendata.inter.prod-toronto.ca/api/3/action/datastore_search?resource_id=a96c0ba4-3026-402b-b09d-5b1268b8f810&amp;filters=%7B%22PERMIT_NUM%22%3A%5B%2218+135805+BLD%22%2C%2218+135805+PLB%22%5D%7D" TargetMode="External" Id="rId795" /><Relationship Type="http://schemas.openxmlformats.org/officeDocument/2006/relationships/hyperlink" Target="https://www.toronto.ca/services-payments/building-construction/building-permit/before-you-apply-for-a-building-permit/preliminary-zoning-reviews-information/request-building-records/" TargetMode="External" Id="rId796" /><Relationship Type="http://schemas.openxmlformats.org/officeDocument/2006/relationships/hyperlink" Target="https://www.google.com/maps/search/?api=1&amp;query=43.6728187880411,-79.4390458177894" TargetMode="External" Id="rId797" /><Relationship Type="http://schemas.openxmlformats.org/officeDocument/2006/relationships/hyperlink" Target="https://ckan0.cf.opendata.inter.prod-toronto.ca/api/3/action/datastore_search?resource_id=a96c0ba4-3026-402b-b09d-5b1268b8f810&amp;filters=%7B%22PERMIT_NUM%22%3A%5B%2224+175840+BLD%22%2C%2224+175840+DRN%22%2C%2224+175840+HVA%22%2C%2224+175840+PLB%22%5D%7D" TargetMode="External" Id="rId798" /><Relationship Type="http://schemas.openxmlformats.org/officeDocument/2006/relationships/hyperlink" Target="https://www.toronto.ca/services-payments/building-construction/building-permit/before-you-apply-for-a-building-permit/preliminary-zoning-reviews-information/request-building-records/" TargetMode="External" Id="rId799" /><Relationship Type="http://schemas.openxmlformats.org/officeDocument/2006/relationships/hyperlink" Target="https://www.google.com/maps/search/?api=1&amp;query=43.672737561789,-79.4375811132782" TargetMode="External" Id="rId800" /><Relationship Type="http://schemas.openxmlformats.org/officeDocument/2006/relationships/hyperlink" Target="https://ckan0.cf.opendata.inter.prod-toronto.ca/api/3/action/datastore_search?resource_id=a96c0ba4-3026-402b-b09d-5b1268b8f810&amp;filters=%7B%22PERMIT_NUM%22%3A%2216+152032+BLD%22%7D" TargetMode="External" Id="rId801" /><Relationship Type="http://schemas.openxmlformats.org/officeDocument/2006/relationships/hyperlink" Target="https://www.toronto.ca/services-payments/building-construction/building-permit/before-you-apply-for-a-building-permit/preliminary-zoning-reviews-information/request-building-records/" TargetMode="External" Id="rId802" /><Relationship Type="http://schemas.openxmlformats.org/officeDocument/2006/relationships/hyperlink" Target="https://www.google.com/maps/search/?api=1&amp;query=43.6721188639003,-79.4402927050095" TargetMode="External" Id="rId803" /><Relationship Type="http://schemas.openxmlformats.org/officeDocument/2006/relationships/hyperlink" Target="https://ckan0.cf.opendata.inter.prod-toronto.ca/api/3/action/datastore_search?resource_id=6d0229af-bc54-46de-9c2b-26759b01dd05&amp;filters=%7B%22PERMIT_NUM%22%3A%5B%2213+149308+BLD%22%2C%2213+149308+FSU%22%5D%7D" TargetMode="External" Id="rId804" /><Relationship Type="http://schemas.openxmlformats.org/officeDocument/2006/relationships/hyperlink" Target="https://www.toronto.ca/services-payments/building-construction/building-permit/before-you-apply-for-a-building-permit/preliminary-zoning-reviews-information/request-building-records/" TargetMode="External" Id="rId805" /><Relationship Type="http://schemas.openxmlformats.org/officeDocument/2006/relationships/hyperlink" Target="https://www.google.com/maps/search/?api=1&amp;query=43.6721188639003,-79.4402927050095" TargetMode="External" Id="rId806" /><Relationship Type="http://schemas.openxmlformats.org/officeDocument/2006/relationships/hyperlink" Target="https://ckan0.cf.opendata.inter.prod-toronto.ca/api/3/action/datastore_search?resource_id=a96c0ba4-3026-402b-b09d-5b1268b8f810&amp;filters=%7B%22PERMIT_NUM%22%3A%2222+219091+MSA%22%7D" TargetMode="External" Id="rId807" /><Relationship Type="http://schemas.openxmlformats.org/officeDocument/2006/relationships/hyperlink" Target="https://secure.toronto.ca/ApplicationStatus/setup.do?action=init" TargetMode="External" Id="rId808" /><Relationship Type="http://schemas.openxmlformats.org/officeDocument/2006/relationships/hyperlink" Target="https://www.google.com/maps/search/?api=1&amp;query=43.6721188639003,-79.4402927050095" TargetMode="External" Id="rId809" /><Relationship Type="http://schemas.openxmlformats.org/officeDocument/2006/relationships/hyperlink" Target="https://ckan0.cf.opendata.inter.prod-toronto.ca/api/3/action/datastore_search?resource_id=6d0229af-bc54-46de-9c2b-26759b01dd05&amp;filters=%7B%22PERMIT_NUM%22%3A%2226+150320+BLD%22%7D" TargetMode="External" Id="rId810" /><Relationship Type="http://schemas.openxmlformats.org/officeDocument/2006/relationships/hyperlink" Target="https://www.toronto.ca/services-payments/building-construction/building-permit/before-you-apply-for-a-building-permit/preliminary-zoning-reviews-information/request-building-records/" TargetMode="External" Id="rId811" /><Relationship Type="http://schemas.openxmlformats.org/officeDocument/2006/relationships/hyperlink" Target="https://www.google.com/maps/search/?api=1&amp;query=43.6720066820284,-79.4366014228849" TargetMode="External" Id="rId812" /><Relationship Type="http://schemas.openxmlformats.org/officeDocument/2006/relationships/hyperlink" Target="https://ckan0.cf.opendata.inter.prod-toronto.ca/api/3/action/datastore_search?resource_id=a96c0ba4-3026-402b-b09d-5b1268b8f810&amp;filters=%7B%22PERMIT_NUM%22%3A%2224+208650+BLD%22%7D" TargetMode="External" Id="rId813" /><Relationship Type="http://schemas.openxmlformats.org/officeDocument/2006/relationships/hyperlink" Target="https://secure.toronto.ca/ApplicationStatus/setup.do?action=init" TargetMode="External" Id="rId814" /><Relationship Type="http://schemas.openxmlformats.org/officeDocument/2006/relationships/hyperlink" Target="https://www.google.com/maps/search/?api=1&amp;query=43.671811890035,-79.4365144243826" TargetMode="External" Id="rId815" /><Relationship Type="http://schemas.openxmlformats.org/officeDocument/2006/relationships/hyperlink" Target="https://ckan0.cf.opendata.inter.prod-toronto.ca/api/3/action/datastore_search?resource_id=a96c0ba4-3026-402b-b09d-5b1268b8f810&amp;filters=%7B%22PERMIT_NUM%22%3A%5B%2218+109551+HVA%22%2C%2218+109551+PLB%22%5D%7D" TargetMode="External" Id="rId816" /><Relationship Type="http://schemas.openxmlformats.org/officeDocument/2006/relationships/hyperlink" Target="https://www.toronto.ca/services-payments/building-construction/building-permit/before-you-apply-for-a-building-permit/preliminary-zoning-reviews-information/request-building-records/" TargetMode="External" Id="rId817" /><Relationship Type="http://schemas.openxmlformats.org/officeDocument/2006/relationships/hyperlink" Target="https://www.google.com/maps/search/?api=1&amp;query=43.6716902648714,-79.4364672058173" TargetMode="External" Id="rId818" /><Relationship Type="http://schemas.openxmlformats.org/officeDocument/2006/relationships/hyperlink" Target="https://ckan0.cf.opendata.inter.prod-toronto.ca/api/3/action/datastore_search?resource_id=6d0229af-bc54-46de-9c2b-26759b01dd05&amp;filters=%7B%22PERMIT_NUM%22%3A%2207+224126+BLD%22%7D" TargetMode="External" Id="rId819" /><Relationship Type="http://schemas.openxmlformats.org/officeDocument/2006/relationships/hyperlink" Target="https://www.toronto.ca/services-payments/building-construction/building-permit/before-you-apply-for-a-building-permit/preliminary-zoning-reviews-information/request-building-records/" TargetMode="External" Id="rId820" /><Relationship Type="http://schemas.openxmlformats.org/officeDocument/2006/relationships/hyperlink" Target="https://www.google.com/maps/search/?api=1&amp;query=43.670156278869,-79.439474126397" TargetMode="External" Id="rId821" /><Relationship Type="http://schemas.openxmlformats.org/officeDocument/2006/relationships/hyperlink" Target="https://ckan0.cf.opendata.inter.prod-toronto.ca/api/3/action/datastore_search?resource_id=a96c0ba4-3026-402b-b09d-5b1268b8f810&amp;filters=%7B%22PERMIT_NUM%22%3A%5B%2218+246139+BLD%22%2C%2218+246139+HVA%22%2C%2218+246139+PLB%22%5D%7D" TargetMode="External" Id="rId822" /><Relationship Type="http://schemas.openxmlformats.org/officeDocument/2006/relationships/hyperlink" Target="https://secure.toronto.ca/ApplicationStatus/setup.do?action=init" TargetMode="External" Id="rId823" /><Relationship Type="http://schemas.openxmlformats.org/officeDocument/2006/relationships/hyperlink" Target="https://www.google.com/maps/search/?api=1&amp;query=43.670156278869,-79.439474126397" TargetMode="External" Id="rId824" /><Relationship Type="http://schemas.openxmlformats.org/officeDocument/2006/relationships/hyperlink" Target="https://ckan0.cf.opendata.inter.prod-toronto.ca/api/3/action/datastore_search?resource_id=6d0229af-bc54-46de-9c2b-26759b01dd05&amp;filters=%7B%22PERMIT_NUM%22%3A%5B%2226+163120+BLD%22%2C%2226+163120+HVA%22%2C%2226+163120+PLB%22%5D%7D" TargetMode="External" Id="rId825" /><Relationship Type="http://schemas.openxmlformats.org/officeDocument/2006/relationships/hyperlink" Target="https://secure.toronto.ca/ApplicationStatus/setup.do?action=init" TargetMode="External" Id="rId826" /><Relationship Type="http://schemas.openxmlformats.org/officeDocument/2006/relationships/hyperlink" Target="https://www.google.com/maps/search/?api=1&amp;query=43.6715543157451,-79.4405807797128" TargetMode="External" Id="rId827" /><Relationship Type="http://schemas.openxmlformats.org/officeDocument/2006/relationships/hyperlink" Target="https://ckan0.cf.opendata.inter.prod-toronto.ca/api/3/action/datastore_search?resource_id=6d0229af-bc54-46de-9c2b-26759b01dd05&amp;filters=%7B%22PERMIT_NUM%22%3A%5B%2224+137631+BLD%22%2C%2224+137631+HVA%22%2C%2224+137631+PLB%22%5D%7D" TargetMode="External" Id="rId828" /><Relationship Type="http://schemas.openxmlformats.org/officeDocument/2006/relationships/hyperlink" Target="https://secure.toronto.ca/ApplicationStatus/setup.do?action=init" TargetMode="External" Id="rId829" /><Relationship Type="http://schemas.openxmlformats.org/officeDocument/2006/relationships/hyperlink" Target="https://www.google.com/maps/search/?api=1&amp;query=43.6715543157451,-79.4405807797128" TargetMode="External" Id="rId830" /><Relationship Type="http://schemas.openxmlformats.org/officeDocument/2006/relationships/hyperlink" Target="https://ckan0.cf.opendata.inter.prod-toronto.ca/api/3/action/datastore_search?resource_id=6d0229af-bc54-46de-9c2b-26759b01dd05&amp;filters=%7B%22PERMIT_NUM%22%3A%2225+134625+BLD%22%7D" TargetMode="External" Id="rId831" /><Relationship Type="http://schemas.openxmlformats.org/officeDocument/2006/relationships/hyperlink" Target="https://secure.toronto.ca/ApplicationStatus/setup.do?action=init" TargetMode="External" Id="rId832" /><Relationship Type="http://schemas.openxmlformats.org/officeDocument/2006/relationships/hyperlink" Target="https://www.google.com/maps/search/?api=1&amp;query=43.6715543157451,-79.4405807797128" TargetMode="External" Id="rId833" /><Relationship Type="http://schemas.openxmlformats.org/officeDocument/2006/relationships/hyperlink" Target="https://ckan0.cf.opendata.inter.prod-toronto.ca/api/3/action/datastore_search?resource_id=6d0229af-bc54-46de-9c2b-26759b01dd05&amp;filters=%7B%22PERMIT_NUM%22%3A%5B%2226+105133+BLD%22%2C%2226+105133+DRN%22%2C%2226+105133+HVA%22%2C%2226+105133+PLB%22%5D%7D" TargetMode="External" Id="rId834" /><Relationship Type="http://schemas.openxmlformats.org/officeDocument/2006/relationships/hyperlink" Target="https://www.toronto.ca/services-payments/building-construction/building-permit/before-you-apply-for-a-building-permit/preliminary-zoning-reviews-information/request-building-records/" TargetMode="External" Id="rId835" /><Relationship Type="http://schemas.openxmlformats.org/officeDocument/2006/relationships/hyperlink" Target="https://www.google.com/maps/search/?api=1&amp;query=43.6714572728121,-79.4405988319372" TargetMode="External" Id="rId836" /><Relationship Type="http://schemas.openxmlformats.org/officeDocument/2006/relationships/hyperlink" Target="https://ckan0.cf.opendata.inter.prod-toronto.ca/api/3/action/datastore_search?resource_id=a96c0ba4-3026-402b-b09d-5b1268b8f810&amp;filters=%7B%22PERMIT_NUM%22%3A%2221+189503+BLD%22%7D" TargetMode="External" Id="rId837" /><Relationship Type="http://schemas.openxmlformats.org/officeDocument/2006/relationships/hyperlink" Target="https://www.toronto.ca/services-payments/building-construction/building-permit/before-you-apply-for-a-building-permit/preliminary-zoning-reviews-information/request-building-records/" TargetMode="External" Id="rId838" /><Relationship Type="http://schemas.openxmlformats.org/officeDocument/2006/relationships/hyperlink" Target="https://www.google.com/maps/search/?api=1&amp;query=43.6729172503072,-79.4390904120156" TargetMode="External" Id="rId839" /><Relationship Type="http://schemas.openxmlformats.org/officeDocument/2006/relationships/hyperlink" Target="https://ckan0.cf.opendata.inter.prod-toronto.ca/api/3/action/datastore_search?resource_id=a96c0ba4-3026-402b-b09d-5b1268b8f810&amp;filters=%7B%22PERMIT_NUM%22%3A%2223+137564+BLD%22%7D" TargetMode="External" Id="rId840" /><Relationship Type="http://schemas.openxmlformats.org/officeDocument/2006/relationships/hyperlink" Target="https://www.toronto.ca/services-payments/building-construction/building-permit/before-you-apply-for-a-building-permit/preliminary-zoning-reviews-information/request-building-records/" TargetMode="External" Id="rId841" /><Relationship Type="http://schemas.openxmlformats.org/officeDocument/2006/relationships/hyperlink" Target="https://www.google.com/maps/search/?api=1&amp;query=43.6714572728121,-79.4405988319372" TargetMode="External" Id="rId842" /><Relationship Type="http://schemas.openxmlformats.org/officeDocument/2006/relationships/hyperlink" Target="https://ckan0.cf.opendata.inter.prod-toronto.ca/api/3/action/datastore_search?resource_id=a96c0ba4-3026-402b-b09d-5b1268b8f810&amp;filters=%7B%22PERMIT_NUM%22%3A%2223+137567+BLD%22%7D" TargetMode="External" Id="rId843" /><Relationship Type="http://schemas.openxmlformats.org/officeDocument/2006/relationships/hyperlink" Target="https://www.toronto.ca/services-payments/building-construction/building-permit/before-you-apply-for-a-building-permit/preliminary-zoning-reviews-information/request-building-records/" TargetMode="External" Id="rId844" /><Relationship Type="http://schemas.openxmlformats.org/officeDocument/2006/relationships/hyperlink" Target="https://www.google.com/maps/search/?api=1&amp;query=43.6729172503072,-79.4390904120156" TargetMode="External" Id="rId845" /><Relationship Type="http://schemas.openxmlformats.org/officeDocument/2006/relationships/hyperlink" Target="https://ckan0.cf.opendata.inter.prod-toronto.ca/api/3/action/datastore_search?resource_id=a96c0ba4-3026-402b-b09d-5b1268b8f810&amp;filters=%7B%22PERMIT_NUM%22%3A%2224+164485+BLD%22%7D" TargetMode="External" Id="rId846" /><Relationship Type="http://schemas.openxmlformats.org/officeDocument/2006/relationships/hyperlink" Target="https://secure.toronto.ca/ApplicationStatus/setup.do?action=init" TargetMode="External" Id="rId847" /><Relationship Type="http://schemas.openxmlformats.org/officeDocument/2006/relationships/hyperlink" Target="https://www.google.com/maps/search/?api=1&amp;query=43.6729172503072,-79.4390904120156" TargetMode="External" Id="rId848" /><Relationship Type="http://schemas.openxmlformats.org/officeDocument/2006/relationships/hyperlink" Target="https://ckan0.cf.opendata.inter.prod-toronto.ca/api/3/action/datastore_search?resource_id=6d0229af-bc54-46de-9c2b-26759b01dd05&amp;filters=%7B%22PERMIT_NUM%22%3A%2224+175516+BLD%22%7D" TargetMode="External" Id="rId849" /><Relationship Type="http://schemas.openxmlformats.org/officeDocument/2006/relationships/hyperlink" Target="https://secure.toronto.ca/ApplicationStatus/setup.do?action=init" TargetMode="External" Id="rId850" /><Relationship Type="http://schemas.openxmlformats.org/officeDocument/2006/relationships/hyperlink" Target="https://www.google.com/maps/search/?api=1&amp;query=43.6714572728121,-79.4405988319372" TargetMode="External" Id="rId851" /><Relationship Type="http://schemas.openxmlformats.org/officeDocument/2006/relationships/hyperlink" Target="https://ckan0.cf.opendata.inter.prod-toronto.ca/api/3/action/datastore_search?resource_id=6d0229af-bc54-46de-9c2b-26759b01dd05&amp;filters=%7B%22PERMIT_NUM%22%3A%5B%2225+134500+BLD%22%2C%2225+134500+DRN%22%2C%2225+134500+HVA%22%2C%2225+134500+PLB%22%5D%7D" TargetMode="External" Id="rId852" /><Relationship Type="http://schemas.openxmlformats.org/officeDocument/2006/relationships/hyperlink" Target="https://www.toronto.ca/services-payments/building-construction/building-permit/before-you-apply-for-a-building-permit/preliminary-zoning-reviews-information/request-building-records/" TargetMode="External" Id="rId853" /><Relationship Type="http://schemas.openxmlformats.org/officeDocument/2006/relationships/hyperlink" Target="https://www.google.com/maps/search/?api=1&amp;query=43.6714572728121,-79.4405988319372" TargetMode="External" Id="rId854" /><Relationship Type="http://schemas.openxmlformats.org/officeDocument/2006/relationships/hyperlink" Target="https://ckan0.cf.opendata.inter.prod-toronto.ca/api/3/action/datastore_search?resource_id=a96c0ba4-3026-402b-b09d-5b1268b8f810&amp;filters=%7B%22PERMIT_NUM%22%3A%2297+020666+PLB%22%7D" TargetMode="External" Id="rId855" /><Relationship Type="http://schemas.openxmlformats.org/officeDocument/2006/relationships/hyperlink" Target="https://secure.toronto.ca/ApplicationStatus/setup.do?action=init" TargetMode="External" Id="rId856" /><Relationship Type="http://schemas.openxmlformats.org/officeDocument/2006/relationships/hyperlink" Target="https://www.google.com/maps/search/?api=1&amp;query=43.6715469125212,-79.4364074730633" TargetMode="External" Id="rId857" /><Relationship Type="http://schemas.openxmlformats.org/officeDocument/2006/relationships/hyperlink" Target="https://ckan0.cf.opendata.inter.prod-toronto.ca/api/3/action/datastore_search?resource_id=6d0229af-bc54-46de-9c2b-26759b01dd05&amp;filters=%7B%22PERMIT_NUM%22%3A%5B%2222+116702+BLD%22%2C%2222+116702+DRN%22%2C%2222+116702+PLB%22%5D%7D" TargetMode="External" Id="rId858" /><Relationship Type="http://schemas.openxmlformats.org/officeDocument/2006/relationships/hyperlink" Target="https://www.toronto.ca/services-payments/building-construction/building-permit/before-you-apply-for-a-building-permit/preliminary-zoning-reviews-information/request-building-records/" TargetMode="External" Id="rId859" /><Relationship Type="http://schemas.openxmlformats.org/officeDocument/2006/relationships/hyperlink" Target="https://www.google.com/maps/search/?api=1&amp;query=43.6714459120405,-79.4363974357822" TargetMode="External" Id="rId860" /><Relationship Type="http://schemas.openxmlformats.org/officeDocument/2006/relationships/hyperlink" Target="https://ckan0.cf.opendata.inter.prod-toronto.ca/api/3/action/datastore_search?resource_id=6d0229af-bc54-46de-9c2b-26759b01dd05&amp;filters=%7B%22PERMIT_NUM%22%3A%2209+103100+BLD%22%7D" TargetMode="External" Id="rId861" /><Relationship Type="http://schemas.openxmlformats.org/officeDocument/2006/relationships/hyperlink" Target="https://www.toronto.ca/services-payments/building-construction/building-permit/before-you-apply-for-a-building-permit/preliminary-zoning-reviews-information/request-building-records/" TargetMode="External" Id="rId862" /><Relationship Type="http://schemas.openxmlformats.org/officeDocument/2006/relationships/hyperlink" Target="https://www.google.com/maps/search/?api=1&amp;query=43.6729943271144,-79.4382820112104" TargetMode="External" Id="rId863" /><Relationship Type="http://schemas.openxmlformats.org/officeDocument/2006/relationships/hyperlink" Target="https://ckan0.cf.opendata.inter.prod-toronto.ca/api/3/action/datastore_search?resource_id=a96c0ba4-3026-402b-b09d-5b1268b8f810&amp;filters=%7B%22PERMIT_NUM%22%3A%5B%2215+151328+BLD%22%2C%2215+151328+DRN%22%2C%2215+151328+HVA%22%2C%2215+151328+PLB%22%5D%7D" TargetMode="External" Id="rId864" /><Relationship Type="http://schemas.openxmlformats.org/officeDocument/2006/relationships/hyperlink" Target="https://secure.toronto.ca/ApplicationStatus/setup.do?action=init" TargetMode="External" Id="rId865" /><Relationship Type="http://schemas.openxmlformats.org/officeDocument/2006/relationships/hyperlink" Target="https://www.google.com/maps/search/?api=1&amp;query=43.6715136189251,-79.4363954545433" TargetMode="External" Id="rId866" /><Relationship Type="http://schemas.openxmlformats.org/officeDocument/2006/relationships/hyperlink" Target="https://ckan0.cf.opendata.inter.prod-toronto.ca/api/3/action/datastore_search?resource_id=6d0229af-bc54-46de-9c2b-26759b01dd05&amp;filters=%7B%22PERMIT_NUM%22%3A%2222+116693+BLD%22%7D" TargetMode="External" Id="rId867" /><Relationship Type="http://schemas.openxmlformats.org/officeDocument/2006/relationships/hyperlink" Target="https://www.toronto.ca/services-payments/building-construction/building-permit/before-you-apply-for-a-building-permit/preliminary-zoning-reviews-information/request-building-records/" TargetMode="External" Id="rId868" /><Relationship Type="http://schemas.openxmlformats.org/officeDocument/2006/relationships/hyperlink" Target="https://www.google.com/maps/search/?api=1&amp;query=43.6700849881319,-79.4394397491574" TargetMode="External" Id="rId869" /><Relationship Type="http://schemas.openxmlformats.org/officeDocument/2006/relationships/hyperlink" Target="https://ckan0.cf.opendata.inter.prod-toronto.ca/api/3/action/datastore_search?resource_id=a96c0ba4-3026-402b-b09d-5b1268b8f810&amp;filters=%7B%22PERMIT_NUM%22%3A%5B%2215+211643+BLD%22%2C%2215+211643+HVA%22%2C%2215+211643+PLB%22%5D%7D" TargetMode="External" Id="rId870" /><Relationship Type="http://schemas.openxmlformats.org/officeDocument/2006/relationships/hyperlink" Target="https://www.toronto.ca/services-payments/building-construction/building-permit/before-you-apply-for-a-building-permit/preliminary-zoning-reviews-information/request-building-records/" TargetMode="External" Id="rId871" /><Relationship Type="http://schemas.openxmlformats.org/officeDocument/2006/relationships/hyperlink" Target="https://www.google.com/maps/search/?api=1&amp;query=43.6700849881319,-79.4394397491574" TargetMode="External" Id="rId872" /><Relationship Type="http://schemas.openxmlformats.org/officeDocument/2006/relationships/hyperlink" Target="https://ckan0.cf.opendata.inter.prod-toronto.ca/api/3/action/datastore_search?resource_id=a96c0ba4-3026-402b-b09d-5b1268b8f810&amp;filters=%7B%22PERMIT_NUM%22%3A%2215+230873+PSA%22%7D" TargetMode="External" Id="rId873" /><Relationship Type="http://schemas.openxmlformats.org/officeDocument/2006/relationships/hyperlink" Target="https://www.toronto.ca/services-payments/building-construction/building-permit/before-you-apply-for-a-building-permit/preliminary-zoning-reviews-information/request-building-records/" TargetMode="External" Id="rId874" /><Relationship Type="http://schemas.openxmlformats.org/officeDocument/2006/relationships/hyperlink" Target="https://www.google.com/maps/search/?api=1&amp;query=43.6700849881319,-79.4394397491574" TargetMode="External" Id="rId875" /><Relationship Type="http://schemas.openxmlformats.org/officeDocument/2006/relationships/hyperlink" Target="https://ckan0.cf.opendata.inter.prod-toronto.ca/api/3/action/datastore_search?resource_id=a96c0ba4-3026-402b-b09d-5b1268b8f810&amp;filters=%7B%22PERMIT_NUM%22%3A%2217+150692+BLD%22%7D" TargetMode="External" Id="rId876" /><Relationship Type="http://schemas.openxmlformats.org/officeDocument/2006/relationships/hyperlink" Target="https://www.toronto.ca/services-payments/building-construction/building-permit/before-you-apply-for-a-building-permit/preliminary-zoning-reviews-information/request-building-records/" TargetMode="External" Id="rId877" /><Relationship Type="http://schemas.openxmlformats.org/officeDocument/2006/relationships/hyperlink" Target="https://www.google.com/maps/search/?api=1&amp;query=43.6723434154665,-79.4367364756935" TargetMode="External" Id="rId878" /><Relationship Type="http://schemas.openxmlformats.org/officeDocument/2006/relationships/hyperlink" Target="https://ckan0.cf.opendata.inter.prod-toronto.ca/api/3/action/datastore_search?resource_id=a96c0ba4-3026-402b-b09d-5b1268b8f810&amp;filters=%7B%22PERMIT_NUM%22%3A%2217+228302+BLD%22%7D" TargetMode="External" Id="rId879" /><Relationship Type="http://schemas.openxmlformats.org/officeDocument/2006/relationships/hyperlink" Target="https://secure.toronto.ca/ApplicationStatus/setup.do?action=init" TargetMode="External" Id="rId880" /><Relationship Type="http://schemas.openxmlformats.org/officeDocument/2006/relationships/hyperlink" Target="https://www.google.com/maps/search/?api=1&amp;query=43.6729563787344,-79.4391066800148" TargetMode="External" Id="rId881" /><Relationship Type="http://schemas.openxmlformats.org/officeDocument/2006/relationships/hyperlink" Target="https://ckan0.cf.opendata.inter.prod-toronto.ca/api/3/action/datastore_search?resource_id=6d0229af-bc54-46de-9c2b-26759b01dd05&amp;filters=%7B%22PERMIT_NUM%22%3A%2224+175532+BLD%22%7D" TargetMode="External" Id="rId882" /><Relationship Type="http://schemas.openxmlformats.org/officeDocument/2006/relationships/hyperlink" Target="https://secure.toronto.ca/ApplicationStatus/setup.do?action=init" TargetMode="External" Id="rId883" /><Relationship Type="http://schemas.openxmlformats.org/officeDocument/2006/relationships/hyperlink" Target="https://www.google.com/maps/search/?api=1&amp;query=43.6729563787344,-79.4391066800148" TargetMode="External" Id="rId884" /><Relationship Type="http://schemas.openxmlformats.org/officeDocument/2006/relationships/hyperlink" Target="https://ckan0.cf.opendata.inter.prod-toronto.ca/api/3/action/datastore_search?resource_id=6d0229af-bc54-46de-9c2b-26759b01dd05&amp;filters=%7B%22PERMIT_NUM%22%3A%2226+225244+BLD%22%7D" TargetMode="External" Id="rId885" /><Relationship Type="http://schemas.openxmlformats.org/officeDocument/2006/relationships/hyperlink" Target="https://www.toronto.ca/services-payments/building-construction/building-permit/before-you-apply-for-a-building-permit/preliminary-zoning-reviews-information/request-building-records/" TargetMode="External" Id="rId886" /><Relationship Type="http://schemas.openxmlformats.org/officeDocument/2006/relationships/hyperlink" Target="https://www.google.com/maps/search/?api=1&amp;query=43.6700948540345,-79.4374842503811" TargetMode="External" Id="rId887" /><Relationship Type="http://schemas.openxmlformats.org/officeDocument/2006/relationships/hyperlink" Target="https://ckan0.cf.opendata.inter.prod-toronto.ca/api/3/action/datastore_search?resource_id=6d0229af-bc54-46de-9c2b-26759b01dd05&amp;filters=%7B%22PERMIT_NUM%22%3A%2203+180410+PLB%22%7D" TargetMode="External" Id="rId888" /><Relationship Type="http://schemas.openxmlformats.org/officeDocument/2006/relationships/hyperlink" Target="https://www.toronto.ca/services-payments/building-construction/building-permit/before-you-apply-for-a-building-permit/preliminary-zoning-reviews-information/request-building-records/" TargetMode="External" Id="rId889" /><Relationship Type="http://schemas.openxmlformats.org/officeDocument/2006/relationships/hyperlink" Target="https://www.google.com/maps/search/?api=1&amp;query=43.6699869864462,-79.4378223030659" TargetMode="External" Id="rId890" /><Relationship Type="http://schemas.openxmlformats.org/officeDocument/2006/relationships/hyperlink" Target="https://ckan0.cf.opendata.inter.prod-toronto.ca/api/3/action/datastore_search?resource_id=a96c0ba4-3026-402b-b09d-5b1268b8f810&amp;filters=%7B%22PERMIT_NUM%22%3A%2213+271721+BLD%22%7D" TargetMode="External" Id="rId891" /><Relationship Type="http://schemas.openxmlformats.org/officeDocument/2006/relationships/hyperlink" Target="https://www.toronto.ca/services-payments/building-construction/building-permit/before-you-apply-for-a-building-permit/preliminary-zoning-reviews-information/request-building-records/" TargetMode="External" Id="rId892" /><Relationship Type="http://schemas.openxmlformats.org/officeDocument/2006/relationships/hyperlink" Target="https://www.google.com/maps/search/?api=1&amp;query=43.6700019532538,-79.4377517282727" TargetMode="External" Id="rId893" /><Relationship Type="http://schemas.openxmlformats.org/officeDocument/2006/relationships/hyperlink" Target="https://ckan0.cf.opendata.inter.prod-toronto.ca/api/3/action/datastore_search?resource_id=6d0229af-bc54-46de-9c2b-26759b01dd05&amp;filters=%7B%22PERMIT_NUM%22%3A%2215+226761+PSA%22%7D" TargetMode="External" Id="rId894" /><Relationship Type="http://schemas.openxmlformats.org/officeDocument/2006/relationships/hyperlink" Target="https://www.toronto.ca/services-payments/building-construction/building-permit/before-you-apply-for-a-building-permit/preliminary-zoning-reviews-information/request-building-records/" TargetMode="External" Id="rId895" /><Relationship Type="http://schemas.openxmlformats.org/officeDocument/2006/relationships/hyperlink" Target="https://www.google.com/maps/search/?api=1&amp;query=43.6700948540345,-79.4374842503811" TargetMode="External" Id="rId896" /><Relationship Type="http://schemas.openxmlformats.org/officeDocument/2006/relationships/hyperlink" Target="https://ckan0.cf.opendata.inter.prod-toronto.ca/api/3/action/datastore_search?resource_id=6d0229af-bc54-46de-9c2b-26759b01dd05&amp;filters=%7B%22PERMIT_NUM%22%3A%2215+226764+PSA%22%7D" TargetMode="External" Id="rId897" /><Relationship Type="http://schemas.openxmlformats.org/officeDocument/2006/relationships/hyperlink" Target="https://www.toronto.ca/services-payments/building-construction/building-permit/before-you-apply-for-a-building-permit/preliminary-zoning-reviews-information/request-building-records/" TargetMode="External" Id="rId898" /><Relationship Type="http://schemas.openxmlformats.org/officeDocument/2006/relationships/hyperlink" Target="https://www.google.com/maps/search/?api=1&amp;query=43.6724015805024,-79.436766239196" TargetMode="External" Id="rId899" /><Relationship Type="http://schemas.openxmlformats.org/officeDocument/2006/relationships/hyperlink" Target="https://ckan0.cf.opendata.inter.prod-toronto.ca/api/3/action/datastore_search?resource_id=a96c0ba4-3026-402b-b09d-5b1268b8f810&amp;filters=%7B%22PERMIT_NUM%22%3A%5B%2217+228298+BLD%22%2C%2217+228298+DRN%22%2C%2217+228298+PLB%22%5D%7D" TargetMode="External" Id="rId900" /><Relationship Type="http://schemas.openxmlformats.org/officeDocument/2006/relationships/hyperlink" Target="https://www.toronto.ca/services-payments/building-construction/building-permit/before-you-apply-for-a-building-permit/preliminary-zoning-reviews-information/request-building-records/" TargetMode="External" Id="rId901" /><Relationship Type="http://schemas.openxmlformats.org/officeDocument/2006/relationships/hyperlink" Target="https://www.google.com/maps/search/?api=1&amp;query=43.6699011651216,-79.4386671678678" TargetMode="External" Id="rId902" /><Relationship Type="http://schemas.openxmlformats.org/officeDocument/2006/relationships/hyperlink" Target="https://ckan0.cf.opendata.inter.prod-toronto.ca/api/3/action/datastore_search?resource_id=a96c0ba4-3026-402b-b09d-5b1268b8f810&amp;filters=%7B%22PERMIT_NUM%22%3A%5B%2218+265543+BLD%22%2C%2218+265543+HVA%22%2C%2218+265543+PLB%22%5D%7D" TargetMode="External" Id="rId903" /><Relationship Type="http://schemas.openxmlformats.org/officeDocument/2006/relationships/hyperlink" Target="https://www.toronto.ca/services-payments/building-construction/building-permit/before-you-apply-for-a-building-permit/preliminary-zoning-reviews-information/request-building-records/" TargetMode="External" Id="rId904" /><Relationship Type="http://schemas.openxmlformats.org/officeDocument/2006/relationships/hyperlink" Target="https://www.google.com/maps/search/?api=1&amp;query=43.6725019200574,-79.4368019978327" TargetMode="External" Id="rId905" /><Relationship Type="http://schemas.openxmlformats.org/officeDocument/2006/relationships/hyperlink" Target="https://ckan0.cf.opendata.inter.prod-toronto.ca/api/3/action/datastore_search?resource_id=a96c0ba4-3026-402b-b09d-5b1268b8f810&amp;filters=%7B%22PERMIT_NUM%22%3A%2209+177921+BLD%22%7D" TargetMode="External" Id="rId906" /><Relationship Type="http://schemas.openxmlformats.org/officeDocument/2006/relationships/hyperlink" Target="https://www.toronto.ca/services-payments/building-construction/building-permit/before-you-apply-for-a-building-permit/preliminary-zoning-reviews-information/request-building-records/" TargetMode="External" Id="rId907" /><Relationship Type="http://schemas.openxmlformats.org/officeDocument/2006/relationships/hyperlink" Target="https://www.google.com/maps/search/?api=1&amp;query=43.6725422375213,-79.4368192302724" TargetMode="External" Id="rId908" /><Relationship Type="http://schemas.openxmlformats.org/officeDocument/2006/relationships/hyperlink" Target="https://ckan0.cf.opendata.inter.prod-toronto.ca/api/3/action/datastore_search?resource_id=a96c0ba4-3026-402b-b09d-5b1268b8f810&amp;filters=%7B%22PERMIT_NUM%22%3A%2212+144600+BLD%22%7D" TargetMode="External" Id="rId909" /><Relationship Type="http://schemas.openxmlformats.org/officeDocument/2006/relationships/hyperlink" Target="https://www.toronto.ca/services-payments/building-construction/building-permit/before-you-apply-for-a-building-permit/preliminary-zoning-reviews-information/request-building-records/" TargetMode="External" Id="rId910" /><Relationship Type="http://schemas.openxmlformats.org/officeDocument/2006/relationships/hyperlink" Target="https://www.google.com/maps/search/?api=1&amp;query=43.6730168912932,-79.439218775358" TargetMode="External" Id="rId911" /><Relationship Type="http://schemas.openxmlformats.org/officeDocument/2006/relationships/hyperlink" Target="https://ckan0.cf.opendata.inter.prod-toronto.ca/api/3/action/datastore_search?resource_id=a96c0ba4-3026-402b-b09d-5b1268b8f810&amp;filters=%7B%22PERMIT_NUM%22%3A%2221+246028+BLD%22%7D" TargetMode="External" Id="rId912" /><Relationship Type="http://schemas.openxmlformats.org/officeDocument/2006/relationships/hyperlink" Target="https://secure.toronto.ca/ApplicationStatus/setup.do?action=init" TargetMode="External" Id="rId913" /><Relationship Type="http://schemas.openxmlformats.org/officeDocument/2006/relationships/hyperlink" Target="https://www.google.com/maps/search/?api=1&amp;query=43.6698420810966,-79.4385176773443" TargetMode="External" Id="rId914" /><Relationship Type="http://schemas.openxmlformats.org/officeDocument/2006/relationships/hyperlink" Target="https://ckan0.cf.opendata.inter.prod-toronto.ca/api/3/action/datastore_search?resource_id=6d0229af-bc54-46de-9c2b-26759b01dd05&amp;filters=%7B%22PERMIT_NUM%22%3A%2222+186552+PLB%22%7D" TargetMode="External" Id="rId915" /><Relationship Type="http://schemas.openxmlformats.org/officeDocument/2006/relationships/hyperlink" Target="https://www.toronto.ca/services-payments/building-construction/building-permit/before-you-apply-for-a-building-permit/preliminary-zoning-reviews-information/request-building-records/" TargetMode="External" Id="rId916" /><Relationship Type="http://schemas.openxmlformats.org/officeDocument/2006/relationships/hyperlink" Target="https://www.google.com/maps/search/?api=1&amp;query=43.6729967876486,-79.4376905332592" TargetMode="External" Id="rId917" /><Relationship Type="http://schemas.openxmlformats.org/officeDocument/2006/relationships/hyperlink" Target="https://ckan0.cf.opendata.inter.prod-toronto.ca/api/3/action/datastore_search?resource_id=6d0229af-bc54-46de-9c2b-26759b01dd05&amp;filters=%7B%22PERMIT_NUM%22%3A%2209+181578+BLD%22%7D" TargetMode="External" Id="rId918" /><Relationship Type="http://schemas.openxmlformats.org/officeDocument/2006/relationships/hyperlink" Target="https://www.toronto.ca/services-payments/building-construction/building-permit/before-you-apply-for-a-building-permit/preliminary-zoning-reviews-information/request-building-records/" TargetMode="External" Id="rId919" /><Relationship Type="http://schemas.openxmlformats.org/officeDocument/2006/relationships/hyperlink" Target="https://www.google.com/maps/search/?api=1&amp;query=43.6702576643414,-79.4400272666735" TargetMode="External" Id="rId920" /><Relationship Type="http://schemas.openxmlformats.org/officeDocument/2006/relationships/hyperlink" Target="https://ckan0.cf.opendata.inter.prod-toronto.ca/api/3/action/datastore_search?resource_id=a96c0ba4-3026-402b-b09d-5b1268b8f810&amp;filters=%7B%22PERMIT_NUM%22%3A%2218+206078+DRN%22%7D" TargetMode="External" Id="rId921" /><Relationship Type="http://schemas.openxmlformats.org/officeDocument/2006/relationships/hyperlink" Target="https://www.toronto.ca/services-payments/building-construction/building-permit/before-you-apply-for-a-building-permit/preliminary-zoning-reviews-information/request-building-records/" TargetMode="External" Id="rId922" /><Relationship Type="http://schemas.openxmlformats.org/officeDocument/2006/relationships/hyperlink" Target="https://www.google.com/maps/search/?api=1&amp;query=43.6702887474318,-79.4400644500637" TargetMode="External" Id="rId923" /><Relationship Type="http://schemas.openxmlformats.org/officeDocument/2006/relationships/hyperlink" Target="https://ckan0.cf.opendata.inter.prod-toronto.ca/api/3/action/datastore_search?resource_id=a96c0ba4-3026-402b-b09d-5b1268b8f810&amp;filters=%7B%22PERMIT_NUM%22%3A%2218+206080+DRN%22%7D" TargetMode="External" Id="rId924" /><Relationship Type="http://schemas.openxmlformats.org/officeDocument/2006/relationships/hyperlink" Target="https://www.toronto.ca/services-payments/building-construction/building-permit/before-you-apply-for-a-building-permit/preliminary-zoning-reviews-information/request-building-records/" TargetMode="External" Id="rId925" /><Relationship Type="http://schemas.openxmlformats.org/officeDocument/2006/relationships/hyperlink" Target="https://www.google.com/maps/search/?api=1&amp;query=43.6702576643414,-79.4400272666735" TargetMode="External" Id="rId926" /><Relationship Type="http://schemas.openxmlformats.org/officeDocument/2006/relationships/hyperlink" Target="https://ckan0.cf.opendata.inter.prod-toronto.ca/api/3/action/datastore_search?resource_id=a96c0ba4-3026-402b-b09d-5b1268b8f810&amp;filters=%7B%22PERMIT_NUM%22%3A%5B%2221+199435+BLD%22%2C%2221+199435+DRN%22%2C%2221+199435+HVA%22%2C%2221+199435+PLB%22%5D%7D" TargetMode="External" Id="rId927" /><Relationship Type="http://schemas.openxmlformats.org/officeDocument/2006/relationships/hyperlink" Target="https://www.toronto.ca/services-payments/building-construction/building-permit/before-you-apply-for-a-building-permit/preliminary-zoning-reviews-information/request-building-records/" TargetMode="External" Id="rId928" /><Relationship Type="http://schemas.openxmlformats.org/officeDocument/2006/relationships/hyperlink" Target="https://www.google.com/maps/search/?api=1&amp;query=43.6702887474318,-79.4400644500637" TargetMode="External" Id="rId929" /><Relationship Type="http://schemas.openxmlformats.org/officeDocument/2006/relationships/hyperlink" Target="https://ckan0.cf.opendata.inter.prod-toronto.ca/api/3/action/datastore_search?resource_id=a96c0ba4-3026-402b-b09d-5b1268b8f810&amp;filters=%7B%22PERMIT_NUM%22%3A%5B%2221+199441+BLD%22%2C%2221+199441+DRN%22%2C%2221+199441+HVA%22%2C%2221+199441+PLB%22%5D%7D" TargetMode="External" Id="rId930" /><Relationship Type="http://schemas.openxmlformats.org/officeDocument/2006/relationships/hyperlink" Target="https://www.toronto.ca/services-payments/building-construction/building-permit/before-you-apply-for-a-building-permit/preliminary-zoning-reviews-information/request-building-records/" TargetMode="External" Id="rId931" /><Relationship Type="http://schemas.openxmlformats.org/officeDocument/2006/relationships/hyperlink" Target="https://www.google.com/maps/search/?api=1&amp;query=43.6702202279309,-79.4400103398845" TargetMode="External" Id="rId932" /><Relationship Type="http://schemas.openxmlformats.org/officeDocument/2006/relationships/hyperlink" Target="https://ckan0.cf.opendata.inter.prod-toronto.ca/api/3/action/datastore_search?resource_id=a96c0ba4-3026-402b-b09d-5b1268b8f810&amp;filters=%7B%22PERMIT_NUM%22%3A%2218+206071+DRN%22%7D" TargetMode="External" Id="rId933" /><Relationship Type="http://schemas.openxmlformats.org/officeDocument/2006/relationships/hyperlink" Target="https://www.toronto.ca/services-payments/building-construction/building-permit/before-you-apply-for-a-building-permit/preliminary-zoning-reviews-information/request-building-records/" TargetMode="External" Id="rId934" /><Relationship Type="http://schemas.openxmlformats.org/officeDocument/2006/relationships/hyperlink" Target="https://www.google.com/maps/search/?api=1&amp;query=43.6702202279309,-79.4400103398845" TargetMode="External" Id="rId935" /><Relationship Type="http://schemas.openxmlformats.org/officeDocument/2006/relationships/hyperlink" Target="https://ckan0.cf.opendata.inter.prod-toronto.ca/api/3/action/datastore_search?resource_id=a96c0ba4-3026-402b-b09d-5b1268b8f810&amp;filters=%7B%22PERMIT_NUM%22%3A%5B%2221+199432+BLD%22%2C%2221+199432+DRN%22%2C%2221+199432+HVA%22%2C%2221+199432+PLB%22%5D%7D" TargetMode="External" Id="rId936" /><Relationship Type="http://schemas.openxmlformats.org/officeDocument/2006/relationships/hyperlink" Target="https://www.toronto.ca/services-payments/building-construction/building-permit/before-you-apply-for-a-building-permit/preliminary-zoning-reviews-information/request-building-records/" TargetMode="External" Id="rId937" /><Relationship Type="http://schemas.openxmlformats.org/officeDocument/2006/relationships/hyperlink" Target="https://www.google.com/maps/search/?api=1&amp;query=43.6731294022454,-79.438334354797" TargetMode="External" Id="rId938" /><Relationship Type="http://schemas.openxmlformats.org/officeDocument/2006/relationships/hyperlink" Target="https://ckan0.cf.opendata.inter.prod-toronto.ca/api/3/action/datastore_search?resource_id=a96c0ba4-3026-402b-b09d-5b1268b8f810&amp;filters=%7B%22PERMIT_NUM%22%3A%5B%2218+205445+BLD%22%2C%2218+205445+DRN%22%2C%2218+205445+PLB%22%5D%7D" TargetMode="External" Id="rId939" /><Relationship Type="http://schemas.openxmlformats.org/officeDocument/2006/relationships/hyperlink" Target="https://www.toronto.ca/services-payments/building-construction/building-permit/before-you-apply-for-a-building-permit/preliminary-zoning-reviews-information/request-building-records/" TargetMode="External" Id="rId940" /><Relationship Type="http://schemas.openxmlformats.org/officeDocument/2006/relationships/hyperlink" Target="https://www.google.com/maps/search/?api=1&amp;query=43.6731294022454,-79.438334354797" TargetMode="External" Id="rId941" /><Relationship Type="http://schemas.openxmlformats.org/officeDocument/2006/relationships/hyperlink" Target="https://ckan0.cf.opendata.inter.prod-toronto.ca/api/3/action/datastore_search?resource_id=a96c0ba4-3026-402b-b09d-5b1268b8f810&amp;filters=%7B%22PERMIT_NUM%22%3A%2218+267560+DRN%22%7D" TargetMode="External" Id="rId942" /><Relationship Type="http://schemas.openxmlformats.org/officeDocument/2006/relationships/hyperlink" Target="https://www.toronto.ca/services-payments/building-construction/building-permit/before-you-apply-for-a-building-permit/preliminary-zoning-reviews-information/request-building-records/" TargetMode="External" Id="rId943" /><Relationship Type="http://schemas.openxmlformats.org/officeDocument/2006/relationships/hyperlink" Target="https://www.google.com/maps/search/?api=1&amp;query=43.6731294022454,-79.438334354797" TargetMode="External" Id="rId944" /><Relationship Type="http://schemas.openxmlformats.org/officeDocument/2006/relationships/hyperlink" Target="https://ckan0.cf.opendata.inter.prod-toronto.ca/api/3/action/datastore_search?resource_id=a96c0ba4-3026-402b-b09d-5b1268b8f810&amp;filters=%7B%22PERMIT_NUM%22%3A%5B%2219+134129+BLD%22%2C%2219+134129+HVA%22%5D%7D" TargetMode="External" Id="rId945" /><Relationship Type="http://schemas.openxmlformats.org/officeDocument/2006/relationships/hyperlink" Target="https://secure.toronto.ca/ApplicationStatus/setup.do?action=init" TargetMode="External" Id="rId946" /><Relationship Type="http://schemas.openxmlformats.org/officeDocument/2006/relationships/hyperlink" Target="https://www.google.com/maps/search/?api=1&amp;query=43.6698045709379,-79.4386990364292" TargetMode="External" Id="rId947" /><Relationship Type="http://schemas.openxmlformats.org/officeDocument/2006/relationships/hyperlink" Target="https://ckan0.cf.opendata.inter.prod-toronto.ca/api/3/action/datastore_search?resource_id=a96c0ba4-3026-402b-b09d-5b1268b8f810&amp;filters=%7B%22PERMIT_NUM%22%3A%5B%2225+116847+BLD%22%2C%2225+116847+HVA%22%5D%7D" TargetMode="External" Id="rId948" /><Relationship Type="http://schemas.openxmlformats.org/officeDocument/2006/relationships/hyperlink" Target="https://www.toronto.ca/services-payments/building-construction/building-permit/before-you-apply-for-a-building-permit/preliminary-zoning-reviews-information/request-building-records/" TargetMode="External" Id="rId949" /><Relationship Type="http://schemas.openxmlformats.org/officeDocument/2006/relationships/hyperlink" Target="https://www.google.com/maps/search/?api=1&amp;query=43.6698932383913,-79.4394163312787" TargetMode="External" Id="rId950" /><Relationship Type="http://schemas.openxmlformats.org/officeDocument/2006/relationships/hyperlink" Target="https://ckan0.cf.opendata.inter.prod-toronto.ca/api/3/action/datastore_search?resource_id=6d0229af-bc54-46de-9c2b-26759b01dd05&amp;filters=%7B%22PERMIT_NUM%22%3A%2213+173934+PSA%22%7D" TargetMode="External" Id="rId951" /><Relationship Type="http://schemas.openxmlformats.org/officeDocument/2006/relationships/hyperlink" Target="https://secure.toronto.ca/ApplicationStatus/setup.do?action=init" TargetMode="External" Id="rId952" /><Relationship Type="http://schemas.openxmlformats.org/officeDocument/2006/relationships/hyperlink" Target="https://www.google.com/maps/search/?api=1&amp;query=43.6701549166233,-79.4400319572102" TargetMode="External" Id="rId953" /><Relationship Type="http://schemas.openxmlformats.org/officeDocument/2006/relationships/hyperlink" Target="https://ckan0.cf.opendata.inter.prod-toronto.ca/api/3/action/datastore_search?resource_id=6d0229af-bc54-46de-9c2b-26759b01dd05&amp;filters=%7B%22PERMIT_NUM%22%3A%2222+217237+BLD%22%7D" TargetMode="External" Id="rId954" /><Relationship Type="http://schemas.openxmlformats.org/officeDocument/2006/relationships/hyperlink" Target="https://www.toronto.ca/services-payments/building-construction/building-permit/before-you-apply-for-a-building-permit/preliminary-zoning-reviews-information/request-building-records/" TargetMode="External" Id="rId955" /><Relationship Type="http://schemas.openxmlformats.org/officeDocument/2006/relationships/hyperlink" Target="https://www.google.com/maps/search/?api=1&amp;query=43.6731875168765,-79.4383548937569" TargetMode="External" Id="rId956" /><Relationship Type="http://schemas.openxmlformats.org/officeDocument/2006/relationships/hyperlink" Target="https://ckan0.cf.opendata.inter.prod-toronto.ca/api/3/action/datastore_search?resource_id=a96c0ba4-3026-402b-b09d-5b1268b8f810&amp;filters=%7B%22PERMIT_NUM%22%3A%2224+232525+DRN%22%7D" TargetMode="External" Id="rId957" /><Relationship Type="http://schemas.openxmlformats.org/officeDocument/2006/relationships/hyperlink" Target="https://secure.toronto.ca/ApplicationStatus/setup.do?action=init" TargetMode="External" Id="rId958" /><Relationship Type="http://schemas.openxmlformats.org/officeDocument/2006/relationships/hyperlink" Target="https://www.google.com/maps/search/?api=1&amp;query=43.6697604398624,-79.4389222166202" TargetMode="External" Id="rId959" /><Relationship Type="http://schemas.openxmlformats.org/officeDocument/2006/relationships/hyperlink" Target="https://ckan0.cf.opendata.inter.prod-toronto.ca/api/3/action/datastore_search?resource_id=6d0229af-bc54-46de-9c2b-26759b01dd05&amp;filters=%7B%22PERMIT_NUM%22%3A%5B%2218+185194+BLD%22%2C%2218+185194+HVA%22%5D%7D" TargetMode="External" Id="rId960" /><Relationship Type="http://schemas.openxmlformats.org/officeDocument/2006/relationships/hyperlink" Target="https://www.toronto.ca/services-payments/building-construction/building-permit/before-you-apply-for-a-building-permit/preliminary-zoning-reviews-information/request-building-records/" TargetMode="External" Id="rId961" /><Relationship Type="http://schemas.openxmlformats.org/officeDocument/2006/relationships/hyperlink" Target="https://www.google.com/maps/search/?api=1&amp;query=43.672865202172,-79.4370423482666" TargetMode="External" Id="rId962" /><Relationship Type="http://schemas.openxmlformats.org/officeDocument/2006/relationships/hyperlink" Target="https://ckan0.cf.opendata.inter.prod-toronto.ca/api/3/action/datastore_search?resource_id=a96c0ba4-3026-402b-b09d-5b1268b8f810&amp;filters=%7B%22PERMIT_NUM%22%3A%2219+109164+BLD%22%7D" TargetMode="External" Id="rId963" /><Relationship Type="http://schemas.openxmlformats.org/officeDocument/2006/relationships/hyperlink" Target="https://www.toronto.ca/services-payments/building-construction/building-permit/before-you-apply-for-a-building-permit/preliminary-zoning-reviews-information/request-building-records/" TargetMode="External" Id="rId964" /><Relationship Type="http://schemas.openxmlformats.org/officeDocument/2006/relationships/hyperlink" Target="https://www.google.com/maps/search/?api=1&amp;query=43.6714150411829,-79.4409687545902" TargetMode="External" Id="rId965" /><Relationship Type="http://schemas.openxmlformats.org/officeDocument/2006/relationships/hyperlink" Target="https://ckan0.cf.opendata.inter.prod-toronto.ca/api/3/action/datastore_search?resource_id=6d0229af-bc54-46de-9c2b-26759b01dd05&amp;filters=%7B%22PERMIT_NUM%22%3A%5B%2211+274079+BLD%22%2C%2211+274079+HVA%22%5D%7D" TargetMode="External" Id="rId966" /><Relationship Type="http://schemas.openxmlformats.org/officeDocument/2006/relationships/hyperlink" Target="https://www.toronto.ca/services-payments/building-construction/building-permit/before-you-apply-for-a-building-permit/preliminary-zoning-reviews-information/request-building-records/" TargetMode="External" Id="rId967" /><Relationship Type="http://schemas.openxmlformats.org/officeDocument/2006/relationships/hyperlink" Target="https://www.google.com/maps/search/?api=1&amp;query=43.6714150411829,-79.4409687545902" TargetMode="External" Id="rId968" /><Relationship Type="http://schemas.openxmlformats.org/officeDocument/2006/relationships/hyperlink" Target="https://ckan0.cf.opendata.inter.prod-toronto.ca/api/3/action/datastore_search?resource_id=a96c0ba4-3026-402b-b09d-5b1268b8f810&amp;filters=%7B%22PERMIT_NUM%22%3A%2222+176089+BLD%22%7D" TargetMode="External" Id="rId969" /><Relationship Type="http://schemas.openxmlformats.org/officeDocument/2006/relationships/hyperlink" Target="https://secure.toronto.ca/ApplicationStatus/setup.do?action=init" TargetMode="External" Id="rId970" /><Relationship Type="http://schemas.openxmlformats.org/officeDocument/2006/relationships/hyperlink" Target="https://www.google.com/maps/search/?api=1&amp;query=43.673256208412,-79.4385432853554" TargetMode="External" Id="rId971" /><Relationship Type="http://schemas.openxmlformats.org/officeDocument/2006/relationships/hyperlink" Target="https://ckan0.cf.opendata.inter.prod-toronto.ca/api/3/action/datastore_search?resource_id=6d0229af-bc54-46de-9c2b-26759b01dd05&amp;filters=%7B%22PERMIT_NUM%22%3A%5B%2225+141365+BLD%22%2C%2225+141365+HVA%22%2C%2225+141365+PLB%22%5D%7D" TargetMode="External" Id="rId972" /><Relationship Type="http://schemas.openxmlformats.org/officeDocument/2006/relationships/hyperlink" Target="https://www.toronto.ca/services-payments/building-construction/building-permit/before-you-apply-for-a-building-permit/preliminary-zoning-reviews-information/request-building-records/" TargetMode="External" Id="rId973" /><Relationship Type="http://schemas.openxmlformats.org/officeDocument/2006/relationships/hyperlink" Target="https://www.google.com/maps/search/?api=1&amp;query=43.6697424659211,-79.4393311176561" TargetMode="External" Id="rId974" /><Relationship Type="http://schemas.openxmlformats.org/officeDocument/2006/relationships/hyperlink" Target="https://ckan0.cf.opendata.inter.prod-toronto.ca/api/3/action/datastore_search?resource_id=a96c0ba4-3026-402b-b09d-5b1268b8f810&amp;filters=%7B%22PERMIT_NUM%22%3A%2213+173919+PSA%22%7D" TargetMode="External" Id="rId975" /><Relationship Type="http://schemas.openxmlformats.org/officeDocument/2006/relationships/hyperlink" Target="https://www.toronto.ca/services-payments/building-construction/building-permit/before-you-apply-for-a-building-permit/preliminary-zoning-reviews-information/request-building-records/" TargetMode="External" Id="rId976" /><Relationship Type="http://schemas.openxmlformats.org/officeDocument/2006/relationships/hyperlink" Target="https://www.google.com/maps/search/?api=1&amp;query=43.6729960763437,-79.4370984881174" TargetMode="External" Id="rId977" /><Relationship Type="http://schemas.openxmlformats.org/officeDocument/2006/relationships/hyperlink" Target="https://ckan0.cf.opendata.inter.prod-toronto.ca/api/3/action/datastore_search?resource_id=a96c0ba4-3026-402b-b09d-5b1268b8f810&amp;filters=%7B%22PERMIT_NUM%22%3A%5B%2213+194099+BLD%22%2C%2213+194099+PLB%22%5D%7D" TargetMode="External" Id="rId978" /><Relationship Type="http://schemas.openxmlformats.org/officeDocument/2006/relationships/hyperlink" Target="https://secure.toronto.ca/ApplicationStatus/setup.do?action=init" TargetMode="External" Id="rId979" /><Relationship Type="http://schemas.openxmlformats.org/officeDocument/2006/relationships/hyperlink" Target="https://www.google.com/maps/search/?api=1&amp;query=43.6729960763437,-79.4370984881174" TargetMode="External" Id="rId980" /><Relationship Type="http://schemas.openxmlformats.org/officeDocument/2006/relationships/hyperlink" Target="https://ckan0.cf.opendata.inter.prod-toronto.ca/api/3/action/datastore_search?resource_id=6d0229af-bc54-46de-9c2b-26759b01dd05&amp;filters=%7B%22PERMIT_NUM%22%3A%2226+105107+DRN%22%7D" TargetMode="External" Id="rId981" /><Relationship Type="http://schemas.openxmlformats.org/officeDocument/2006/relationships/hyperlink" Target="https://secure.toronto.ca/ApplicationStatus/setup.do?action=init" TargetMode="External" Id="rId982" /><Relationship Type="http://schemas.openxmlformats.org/officeDocument/2006/relationships/hyperlink" Target="https://www.google.com/maps/search/?api=1&amp;query=43.6730081490017,-79.4399301793896" TargetMode="External" Id="rId983" /><Relationship Type="http://schemas.openxmlformats.org/officeDocument/2006/relationships/hyperlink" Target="https://ckan0.cf.opendata.inter.prod-toronto.ca/api/3/action/datastore_search?resource_id=6d0229af-bc54-46de-9c2b-26759b01dd05&amp;filters=%7B%22PERMIT_NUM%22%3A%2218+185661+BLD%22%7D" TargetMode="External" Id="rId984" /><Relationship Type="http://schemas.openxmlformats.org/officeDocument/2006/relationships/hyperlink" Target="https://www.toronto.ca/services-payments/building-construction/building-permit/before-you-apply-for-a-building-permit/preliminary-zoning-reviews-information/request-building-records/" TargetMode="External" Id="rId985" /><Relationship Type="http://schemas.openxmlformats.org/officeDocument/2006/relationships/hyperlink" Target="https://www.google.com/maps/search/?api=1&amp;query=43.6713894268038,-79.4410800279287" TargetMode="External" Id="rId986" /><Relationship Type="http://schemas.openxmlformats.org/officeDocument/2006/relationships/hyperlink" Target="https://ckan0.cf.opendata.inter.prod-toronto.ca/api/3/action/datastore_search?resource_id=a96c0ba4-3026-402b-b09d-5b1268b8f810&amp;filters=%7B%22PERMIT_NUM%22%3A%2208+213542+BLD%22%7D" TargetMode="External" Id="rId987" /><Relationship Type="http://schemas.openxmlformats.org/officeDocument/2006/relationships/hyperlink" Target="https://www.toronto.ca/services-payments/building-construction/building-permit/before-you-apply-for-a-building-permit/preliminary-zoning-reviews-information/request-building-records/" TargetMode="External" Id="rId988" /><Relationship Type="http://schemas.openxmlformats.org/officeDocument/2006/relationships/hyperlink" Target="https://www.google.com/maps/search/?api=1&amp;query=43.6732804539766,-79.4391245821957" TargetMode="External" Id="rId989" /><Relationship Type="http://schemas.openxmlformats.org/officeDocument/2006/relationships/hyperlink" Target="https://ckan0.cf.opendata.inter.prod-toronto.ca/api/3/action/datastore_search?resource_id=a96c0ba4-3026-402b-b09d-5b1268b8f810&amp;filters=%7B%22PERMIT_NUM%22%3A%2214+103908+BLD%22%7D" TargetMode="External" Id="rId990" /><Relationship Type="http://schemas.openxmlformats.org/officeDocument/2006/relationships/hyperlink" Target="https://www.toronto.ca/services-payments/building-construction/building-permit/before-you-apply-for-a-building-permit/preliminary-zoning-reviews-information/request-building-records/" TargetMode="External" Id="rId991" /><Relationship Type="http://schemas.openxmlformats.org/officeDocument/2006/relationships/hyperlink" Target="https://www.google.com/maps/search/?api=1&amp;query=43.6713894268038,-79.4410800279287" TargetMode="External" Id="rId992" /><Relationship Type="http://schemas.openxmlformats.org/officeDocument/2006/relationships/hyperlink" Target="https://ckan0.cf.opendata.inter.prod-toronto.ca/api/3/action/datastore_search?resource_id=a96c0ba4-3026-402b-b09d-5b1268b8f810&amp;filters=%7B%22PERMIT_NUM%22%3A%2222+176096+BLD%22%7D" TargetMode="External" Id="rId993" /><Relationship Type="http://schemas.openxmlformats.org/officeDocument/2006/relationships/hyperlink" Target="https://secure.toronto.ca/ApplicationStatus/setup.do?action=init" TargetMode="External" Id="rId994" /><Relationship Type="http://schemas.openxmlformats.org/officeDocument/2006/relationships/hyperlink" Target="https://www.google.com/maps/search/?api=1&amp;query=43.673282139291,-79.4378074051593" TargetMode="External" Id="rId995" /><Relationship Type="http://schemas.openxmlformats.org/officeDocument/2006/relationships/hyperlink" Target="https://ckan0.cf.opendata.inter.prod-toronto.ca/api/3/action/datastore_search?resource_id=6d0229af-bc54-46de-9c2b-26759b01dd05&amp;filters=%7B%22PERMIT_NUM%22%3A%5B%2226+206931+BLD%22%2C%2226+206931+HVA%22%5D%7D" TargetMode="External" Id="rId996" /><Relationship Type="http://schemas.openxmlformats.org/officeDocument/2006/relationships/hyperlink" Target="https://www.toronto.ca/services-payments/building-construction/building-permit/before-you-apply-for-a-building-permit/preliminary-zoning-reviews-information/request-building-records/" TargetMode="External" Id="rId997" /><Relationship Type="http://schemas.openxmlformats.org/officeDocument/2006/relationships/hyperlink" Target="https://www.google.com/maps/search/?api=1&amp;query=43.6729890618276,-79.440059046922" TargetMode="External" Id="rId998" /><Relationship Type="http://schemas.openxmlformats.org/officeDocument/2006/relationships/hyperlink" Target="https://ckan0.cf.opendata.inter.prod-toronto.ca/api/3/action/datastore_search?resource_id=a96c0ba4-3026-402b-b09d-5b1268b8f810&amp;filters=%7B%22PERMIT_NUM%22%3A%5B%2216+204834+BLD%22%2C%2216+204834+HVA%22%2C%2216+204834+PLB%22%5D%7D" TargetMode="External" Id="rId999" /><Relationship Type="http://schemas.openxmlformats.org/officeDocument/2006/relationships/hyperlink" Target="https://www.toronto.ca/services-payments/building-construction/building-permit/before-you-apply-for-a-building-permit/preliminary-zoning-reviews-information/request-building-records/" TargetMode="External" Id="rId1000" /><Relationship Type="http://schemas.openxmlformats.org/officeDocument/2006/relationships/hyperlink" Target="https://www.google.com/maps/search/?api=1&amp;query=43.6719574799239,-79.435953994184" TargetMode="External" Id="rId1001" /><Relationship Type="http://schemas.openxmlformats.org/officeDocument/2006/relationships/hyperlink" Target="https://ckan0.cf.opendata.inter.prod-toronto.ca/api/3/action/datastore_search?resource_id=a96c0ba4-3026-402b-b09d-5b1268b8f810&amp;filters=%7B%22PERMIT_NUM%22%3A%2210+205044+BLD%22%7D" TargetMode="External" Id="rId1002" /><Relationship Type="http://schemas.openxmlformats.org/officeDocument/2006/relationships/hyperlink" Target="https://www.toronto.ca/services-payments/building-construction/building-permit/before-you-apply-for-a-building-permit/preliminary-zoning-reviews-information/request-building-records/" TargetMode="External" Id="rId1003" /><Relationship Type="http://schemas.openxmlformats.org/officeDocument/2006/relationships/hyperlink" Target="https://www.google.com/maps/search/?api=1&amp;query=43.6719151320383,-79.4359278607455" TargetMode="External" Id="rId1004" /><Relationship Type="http://schemas.openxmlformats.org/officeDocument/2006/relationships/hyperlink" Target="https://ckan0.cf.opendata.inter.prod-toronto.ca/api/3/action/datastore_search?resource_id=a96c0ba4-3026-402b-b09d-5b1268b8f810&amp;filters=%7B%22PERMIT_NUM%22%3A%2206+181614+BLD%22%7D" TargetMode="External" Id="rId1005" /><Relationship Type="http://schemas.openxmlformats.org/officeDocument/2006/relationships/hyperlink" Target="https://www.toronto.ca/services-payments/building-construction/building-permit/before-you-apply-for-a-building-permit/preliminary-zoning-reviews-information/request-building-records/" TargetMode="External" Id="rId1006" /><Relationship Type="http://schemas.openxmlformats.org/officeDocument/2006/relationships/hyperlink" Target="https://www.google.com/maps/search/?api=1&amp;query=43.6719151320383,-79.4359278607455" TargetMode="External" Id="rId1007" /><Relationship Type="http://schemas.openxmlformats.org/officeDocument/2006/relationships/hyperlink" Target="https://ckan0.cf.opendata.inter.prod-toronto.ca/api/3/action/datastore_search?resource_id=a96c0ba4-3026-402b-b09d-5b1268b8f810&amp;filters=%7B%22PERMIT_NUM%22%3A%2210+188591+PLB%22%7D" TargetMode="External" Id="rId1008" /><Relationship Type="http://schemas.openxmlformats.org/officeDocument/2006/relationships/hyperlink" Target="https://secure.toronto.ca/ApplicationStatus/setup.do?action=init" TargetMode="External" Id="rId1009" /><Relationship Type="http://schemas.openxmlformats.org/officeDocument/2006/relationships/hyperlink" Target="https://www.google.com/maps/search/?api=1&amp;query=43.6717177821502,-79.4358551159595" TargetMode="External" Id="rId1010" /><Relationship Type="http://schemas.openxmlformats.org/officeDocument/2006/relationships/hyperlink" Target="https://ckan0.cf.opendata.inter.prod-toronto.ca/api/3/action/datastore_search?resource_id=a96c0ba4-3026-402b-b09d-5b1268b8f810&amp;filters=%7B%22PERMIT_NUM%22%3A%2226+213315+DRN%22%7D" TargetMode="External" Id="rId1011" /><Relationship Type="http://schemas.openxmlformats.org/officeDocument/2006/relationships/hyperlink" Target="https://www.toronto.ca/services-payments/building-construction/building-permit/before-you-apply-for-a-building-permit/preliminary-zoning-reviews-information/request-building-records/" TargetMode="External" Id="rId1012" /><Relationship Type="http://schemas.openxmlformats.org/officeDocument/2006/relationships/hyperlink" Target="https://www.google.com/maps/search/?api=1&amp;query=43.6715821637487,-79.4357991710699" TargetMode="External" Id="rId1013" /><Relationship Type="http://schemas.openxmlformats.org/officeDocument/2006/relationships/hyperlink" Target="https://ckan0.cf.opendata.inter.prod-toronto.ca/api/3/action/datastore_search?resource_id=a96c0ba4-3026-402b-b09d-5b1268b8f810&amp;filters=%7B%22PERMIT_NUM%22%3A%2218+236811+BLD%22%7D" TargetMode="External" Id="rId1014" /><Relationship Type="http://schemas.openxmlformats.org/officeDocument/2006/relationships/hyperlink" Target="https://secure.toronto.ca/ApplicationStatus/setup.do?action=init" TargetMode="External" Id="rId1015" /><Relationship Type="http://schemas.openxmlformats.org/officeDocument/2006/relationships/hyperlink" Target="https://www.google.com/maps/search/?api=1&amp;query=43.6715329510908,-79.4357788736477" TargetMode="External" Id="rId1016" /><Relationship Type="http://schemas.openxmlformats.org/officeDocument/2006/relationships/hyperlink" Target="https://ckan0.cf.opendata.inter.prod-toronto.ca/api/3/action/datastore_search?resource_id=a96c0ba4-3026-402b-b09d-5b1268b8f810&amp;filters=%7B%22PERMIT_NUM%22%3A%5B%2208+185789+BLD%22%2C%2208+185789+HVA%22%2C%2208+185789+PLB%22%5D%7D" TargetMode="External" Id="rId1017" /><Relationship Type="http://schemas.openxmlformats.org/officeDocument/2006/relationships/hyperlink" Target="https://www.toronto.ca/services-payments/building-construction/building-permit/before-you-apply-for-a-building-permit/preliminary-zoning-reviews-information/request-building-records/" TargetMode="External" Id="rId1018" /><Relationship Type="http://schemas.openxmlformats.org/officeDocument/2006/relationships/hyperlink" Target="https://www.google.com/maps/search/?api=1&amp;query=43.6695474884005,-79.4379067825092" TargetMode="External" Id="rId1019" /><Relationship Type="http://schemas.openxmlformats.org/officeDocument/2006/relationships/hyperlink" Target="https://ckan0.cf.opendata.inter.prod-toronto.ca/api/3/action/datastore_search?resource_id=6d0229af-bc54-46de-9c2b-26759b01dd05&amp;filters=%7B%22PERMIT_NUM%22%3A%2215+227472+PSA%22%7D" TargetMode="External" Id="rId1020" /><Relationship Type="http://schemas.openxmlformats.org/officeDocument/2006/relationships/hyperlink" Target="https://www.toronto.ca/services-payments/building-construction/building-permit/before-you-apply-for-a-building-permit/preliminary-zoning-reviews-information/request-building-records/" TargetMode="External" Id="rId1021" /><Relationship Type="http://schemas.openxmlformats.org/officeDocument/2006/relationships/hyperlink" Target="https://www.google.com/maps/search/?api=1&amp;query=43.6696043873186,-79.4376284689066" TargetMode="External" Id="rId1022" /><Relationship Type="http://schemas.openxmlformats.org/officeDocument/2006/relationships/hyperlink" Target="https://ckan0.cf.opendata.inter.prod-toronto.ca/api/3/action/datastore_search?resource_id=a96c0ba4-3026-402b-b09d-5b1268b8f810&amp;filters=%7B%22PERMIT_NUM%22%3A%2221+200788+BLD%22%7D" TargetMode="External" Id="rId1023" /><Relationship Type="http://schemas.openxmlformats.org/officeDocument/2006/relationships/hyperlink" Target="https://www.toronto.ca/services-payments/building-construction/building-permit/before-you-apply-for-a-building-permit/preliminary-zoning-reviews-information/request-building-records/" TargetMode="External" Id="rId1024" /><Relationship Type="http://schemas.openxmlformats.org/officeDocument/2006/relationships/hyperlink" Target="https://www.google.com/maps/search/?api=1&amp;query=43.6695668438522,-79.4378121963588" TargetMode="External" Id="rId1025" /><Relationship Type="http://schemas.openxmlformats.org/officeDocument/2006/relationships/hyperlink" Target="https://ckan0.cf.opendata.inter.prod-toronto.ca/api/3/action/datastore_search?resource_id=a96c0ba4-3026-402b-b09d-5b1268b8f810&amp;filters=%7B%22PERMIT_NUM%22%3A%2222+138870+BLD%22%7D" TargetMode="External" Id="rId1026" /><Relationship Type="http://schemas.openxmlformats.org/officeDocument/2006/relationships/hyperlink" Target="https://www.toronto.ca/services-payments/building-construction/building-permit/before-you-apply-for-a-building-permit/preliminary-zoning-reviews-information/request-building-records/" TargetMode="External" Id="rId1027" /><Relationship Type="http://schemas.openxmlformats.org/officeDocument/2006/relationships/hyperlink" Target="https://www.google.com/maps/search/?api=1&amp;query=43.6695668438522,-79.4378121963588" TargetMode="External" Id="rId1028" /><Relationship Type="http://schemas.openxmlformats.org/officeDocument/2006/relationships/hyperlink" Target="https://ckan0.cf.opendata.inter.prod-toronto.ca/api/3/action/datastore_search?resource_id=a96c0ba4-3026-402b-b09d-5b1268b8f810&amp;filters=%7B%22PERMIT_NUM%22%3A%2223+118452+STS%22%7D" TargetMode="External" Id="rId1029" /><Relationship Type="http://schemas.openxmlformats.org/officeDocument/2006/relationships/hyperlink" Target="https://www.toronto.ca/services-payments/building-construction/building-permit/before-you-apply-for-a-building-permit/preliminary-zoning-reviews-information/request-building-records/" TargetMode="External" Id="rId1030" /><Relationship Type="http://schemas.openxmlformats.org/officeDocument/2006/relationships/hyperlink" Target="https://www.google.com/maps/search/?api=1&amp;query=43.6695668438522,-79.4378121963588" TargetMode="External" Id="rId1031" /><Relationship Type="http://schemas.openxmlformats.org/officeDocument/2006/relationships/hyperlink" Target="https://ckan0.cf.opendata.inter.prod-toronto.ca/api/3/action/datastore_search?resource_id=a96c0ba4-3026-402b-b09d-5b1268b8f810&amp;filters=%7B%22PERMIT_NUM%22%3A%5B%2223+121281+BLD%22%2C%2223+121281+HVA%22%2C%2223+121281+PLB%22%5D%7D" TargetMode="External" Id="rId1032" /><Relationship Type="http://schemas.openxmlformats.org/officeDocument/2006/relationships/hyperlink" Target="https://www.toronto.ca/services-payments/building-construction/building-permit/before-you-apply-for-a-building-permit/preliminary-zoning-reviews-information/request-building-records/" TargetMode="External" Id="rId1033" /><Relationship Type="http://schemas.openxmlformats.org/officeDocument/2006/relationships/hyperlink" Target="https://www.google.com/maps/search/?api=1&amp;query=43.6727060471207,-79.4406378047771" TargetMode="External" Id="rId1034" /><Relationship Type="http://schemas.openxmlformats.org/officeDocument/2006/relationships/hyperlink" Target="https://ckan0.cf.opendata.inter.prod-toronto.ca/api/3/action/datastore_search?resource_id=a96c0ba4-3026-402b-b09d-5b1268b8f810&amp;filters=%7B%22PERMIT_NUM%22%3A%2202+136535+TPS%22%7D" TargetMode="External" Id="rId1035" /><Relationship Type="http://schemas.openxmlformats.org/officeDocument/2006/relationships/hyperlink" Target="https://www.toronto.ca/services-payments/building-construction/building-permit/before-you-apply-for-a-building-permit/preliminary-zoning-reviews-information/request-building-records/" TargetMode="External" Id="rId1036" /><Relationship Type="http://schemas.openxmlformats.org/officeDocument/2006/relationships/hyperlink" Target="https://www.google.com/maps/search/?api=1&amp;query=43.6696229884137,-79.437537516709" TargetMode="External" Id="rId1037" /><Relationship Type="http://schemas.openxmlformats.org/officeDocument/2006/relationships/hyperlink" Target="https://ckan0.cf.opendata.inter.prod-toronto.ca/api/3/action/datastore_search?resource_id=a96c0ba4-3026-402b-b09d-5b1268b8f810&amp;filters=%7B%22PERMIT_NUM%22%3A%2221+194581+BLD%22%7D" TargetMode="External" Id="rId1038" /><Relationship Type="http://schemas.openxmlformats.org/officeDocument/2006/relationships/hyperlink" Target="https://www.toronto.ca/services-payments/building-construction/building-permit/before-you-apply-for-a-building-permit/preliminary-zoning-reviews-information/request-building-records/" TargetMode="External" Id="rId1039" /><Relationship Type="http://schemas.openxmlformats.org/officeDocument/2006/relationships/hyperlink" Target="https://www.google.com/maps/search/?api=1&amp;query=43.6696229884137,-79.437537516709" TargetMode="External" Id="rId1040" /><Relationship Type="http://schemas.openxmlformats.org/officeDocument/2006/relationships/hyperlink" Target="https://ckan0.cf.opendata.inter.prod-toronto.ca/api/3/action/datastore_search?resource_id=a96c0ba4-3026-402b-b09d-5b1268b8f810&amp;filters=%7B%22PERMIT_NUM%22%3A%5B%2222+100013+BLD%22%2C%2222+100013+HVA%22%2C%2222+100013+PLB%22%5D%7D" TargetMode="External" Id="rId1041" /><Relationship Type="http://schemas.openxmlformats.org/officeDocument/2006/relationships/hyperlink" Target="https://www.toronto.ca/services-payments/building-construction/building-permit/before-you-apply-for-a-building-permit/preliminary-zoning-reviews-information/request-building-records/" TargetMode="External" Id="rId1042" /><Relationship Type="http://schemas.openxmlformats.org/officeDocument/2006/relationships/hyperlink" Target="https://www.google.com/maps/search/?api=1&amp;query=43.6731980705509,-79.4371720893577" TargetMode="External" Id="rId1043" /><Relationship Type="http://schemas.openxmlformats.org/officeDocument/2006/relationships/hyperlink" Target="https://ckan0.cf.opendata.inter.prod-toronto.ca/api/3/action/datastore_search?resource_id=a96c0ba4-3026-402b-b09d-5b1268b8f810&amp;filters=%7B%22PERMIT_NUM%22%3A%5B%2222+207806+BLD%22%2C%2222+207806+DRN%22%2C%2222+207806+PLB%22%5D%7D" TargetMode="External" Id="rId1044" /><Relationship Type="http://schemas.openxmlformats.org/officeDocument/2006/relationships/hyperlink" Target="https://secure.toronto.ca/ApplicationStatus/setup.do?action=init" TargetMode="External" Id="rId1045" /><Relationship Type="http://schemas.openxmlformats.org/officeDocument/2006/relationships/hyperlink" Target="https://www.google.com/maps/search/?api=1&amp;query=43.6696229884137,-79.437537516709" TargetMode="External" Id="rId1046" /><Relationship Type="http://schemas.openxmlformats.org/officeDocument/2006/relationships/hyperlink" Target="https://ckan0.cf.opendata.inter.prod-toronto.ca/api/3/action/datastore_search?resource_id=6d0229af-bc54-46de-9c2b-26759b01dd05&amp;filters=%7B%22PERMIT_NUM%22%3A%2224+170610+BLD%22%7D" TargetMode="External" Id="rId1047" /><Relationship Type="http://schemas.openxmlformats.org/officeDocument/2006/relationships/hyperlink" Target="https://www.toronto.ca/services-payments/building-construction/building-permit/before-you-apply-for-a-building-permit/preliminary-zoning-reviews-information/request-building-records/" TargetMode="External" Id="rId1048" /><Relationship Type="http://schemas.openxmlformats.org/officeDocument/2006/relationships/hyperlink" Target="https://www.google.com/maps/search/?api=1&amp;query=43.669641607439,-79.4374465644366" TargetMode="External" Id="rId1049" /><Relationship Type="http://schemas.openxmlformats.org/officeDocument/2006/relationships/hyperlink" Target="https://ckan0.cf.opendata.inter.prod-toronto.ca/api/3/action/datastore_search?resource_id=6d0229af-bc54-46de-9c2b-26759b01dd05&amp;filters=%7B%22PERMIT_NUM%22%3A%2216+125390+PSA%22%7D" TargetMode="External" Id="rId1050" /><Relationship Type="http://schemas.openxmlformats.org/officeDocument/2006/relationships/hyperlink" Target="https://www.toronto.ca/services-payments/building-construction/building-permit/before-you-apply-for-a-building-permit/preliminary-zoning-reviews-information/request-building-records/" TargetMode="External" Id="rId1051" /><Relationship Type="http://schemas.openxmlformats.org/officeDocument/2006/relationships/hyperlink" Target="https://www.google.com/maps/search/?api=1&amp;query=43.6695079669749,-79.4380956454485" TargetMode="External" Id="rId1052" /><Relationship Type="http://schemas.openxmlformats.org/officeDocument/2006/relationships/hyperlink" Target="https://ckan0.cf.opendata.inter.prod-toronto.ca/api/3/action/datastore_search?resource_id=6d0229af-bc54-46de-9c2b-26759b01dd05&amp;filters=%7B%22PERMIT_NUM%22%3A%2216+140363+PSA%22%7D" TargetMode="External" Id="rId1053" /><Relationship Type="http://schemas.openxmlformats.org/officeDocument/2006/relationships/hyperlink" Target="https://www.toronto.ca/services-payments/building-construction/building-permit/before-you-apply-for-a-building-permit/preliminary-zoning-reviews-information/request-building-records/" TargetMode="External" Id="rId1054" /><Relationship Type="http://schemas.openxmlformats.org/officeDocument/2006/relationships/hyperlink" Target="https://www.google.com/maps/search/?api=1&amp;query=43.669641607439,-79.4374465644366" TargetMode="External" Id="rId1055" /><Relationship Type="http://schemas.openxmlformats.org/officeDocument/2006/relationships/hyperlink" Target="https://ckan0.cf.opendata.inter.prod-toronto.ca/api/3/action/datastore_search?resource_id=a96c0ba4-3026-402b-b09d-5b1268b8f810&amp;filters=%7B%22PERMIT_NUM%22%3A%2221+200771+BLD%22%7D" TargetMode="External" Id="rId1056" /><Relationship Type="http://schemas.openxmlformats.org/officeDocument/2006/relationships/hyperlink" Target="https://www.toronto.ca/services-payments/building-construction/building-permit/before-you-apply-for-a-building-permit/preliminary-zoning-reviews-information/request-building-records/" TargetMode="External" Id="rId1057" /><Relationship Type="http://schemas.openxmlformats.org/officeDocument/2006/relationships/hyperlink" Target="https://www.google.com/maps/search/?api=1&amp;query=43.6694881791375,-79.4381900706529" TargetMode="External" Id="rId1058" /><Relationship Type="http://schemas.openxmlformats.org/officeDocument/2006/relationships/hyperlink" Target="https://ckan0.cf.opendata.inter.prod-toronto.ca/api/3/action/datastore_search?resource_id=a96c0ba4-3026-402b-b09d-5b1268b8f810&amp;filters=%7B%22PERMIT_NUM%22%3A%2211+137556+DST%22%7D" TargetMode="External" Id="rId1059" /><Relationship Type="http://schemas.openxmlformats.org/officeDocument/2006/relationships/hyperlink" Target="https://www.toronto.ca/services-payments/building-construction/building-permit/before-you-apply-for-a-building-permit/preliminary-zoning-reviews-information/request-building-records/" TargetMode="External" Id="rId1060" /><Relationship Type="http://schemas.openxmlformats.org/officeDocument/2006/relationships/hyperlink" Target="https://www.google.com/maps/search/?api=1&amp;query=43.6694881791375,-79.4381900706529" TargetMode="External" Id="rId1061" /><Relationship Type="http://schemas.openxmlformats.org/officeDocument/2006/relationships/hyperlink" Target="https://ckan0.cf.opendata.inter.prod-toronto.ca/api/3/action/datastore_search?resource_id=a96c0ba4-3026-402b-b09d-5b1268b8f810&amp;filters=%7B%22PERMIT_NUM%22%3A%2216+140407+PSA%22%7D" TargetMode="External" Id="rId1062" /><Relationship Type="http://schemas.openxmlformats.org/officeDocument/2006/relationships/hyperlink" Target="https://www.toronto.ca/services-payments/building-construction/building-permit/before-you-apply-for-a-building-permit/preliminary-zoning-reviews-information/request-building-records/" TargetMode="External" Id="rId1063" /><Relationship Type="http://schemas.openxmlformats.org/officeDocument/2006/relationships/hyperlink" Target="https://www.google.com/maps/search/?api=1&amp;query=43.6696602083892,-79.4373556121268" TargetMode="External" Id="rId1064" /><Relationship Type="http://schemas.openxmlformats.org/officeDocument/2006/relationships/hyperlink" Target="https://ckan0.cf.opendata.inter.prod-toronto.ca/api/3/action/datastore_search?resource_id=a96c0ba4-3026-402b-b09d-5b1268b8f810&amp;filters=%7B%22PERMIT_NUM%22%3A%2216+260475+PSA%22%7D" TargetMode="External" Id="rId1065" /><Relationship Type="http://schemas.openxmlformats.org/officeDocument/2006/relationships/hyperlink" Target="https://www.toronto.ca/services-payments/building-construction/building-permit/before-you-apply-for-a-building-permit/preliminary-zoning-reviews-information/request-building-records/" TargetMode="External" Id="rId1066" /><Relationship Type="http://schemas.openxmlformats.org/officeDocument/2006/relationships/hyperlink" Target="https://www.google.com/maps/search/?api=1&amp;query=43.6694881791375,-79.4381900706529" TargetMode="External" Id="rId1067" /><Relationship Type="http://schemas.openxmlformats.org/officeDocument/2006/relationships/hyperlink" Target="https://ckan0.cf.opendata.inter.prod-toronto.ca/api/3/action/datastore_search?resource_id=a96c0ba4-3026-402b-b09d-5b1268b8f810&amp;filters=%7B%22PERMIT_NUM%22%3A%5B%2221+229531+BLD%22%2C%2221+229531+HVA%22%2C%2221+229531+PLB%22%5D%7D" TargetMode="External" Id="rId1068" /><Relationship Type="http://schemas.openxmlformats.org/officeDocument/2006/relationships/hyperlink" Target="https://secure.toronto.ca/ApplicationStatus/setup.do?action=init" TargetMode="External" Id="rId1069" /><Relationship Type="http://schemas.openxmlformats.org/officeDocument/2006/relationships/hyperlink" Target="https://www.google.com/maps/search/?api=1&amp;query=43.6696602083892,-79.4373556121268" TargetMode="External" Id="rId1070" /><Relationship Type="http://schemas.openxmlformats.org/officeDocument/2006/relationships/hyperlink" Target="https://ckan0.cf.opendata.inter.prod-toronto.ca/api/3/action/datastore_search?resource_id=a96c0ba4-3026-402b-b09d-5b1268b8f810&amp;filters=%7B%22PERMIT_NUM%22%3A%5B%2222+101341+BLD%22%2C%2222+101341+PLB%22%5D%7D" TargetMode="External" Id="rId1071" /><Relationship Type="http://schemas.openxmlformats.org/officeDocument/2006/relationships/hyperlink" Target="https://www.toronto.ca/services-payments/building-construction/building-permit/before-you-apply-for-a-building-permit/preliminary-zoning-reviews-information/request-building-records/" TargetMode="External" Id="rId1072" /><Relationship Type="http://schemas.openxmlformats.org/officeDocument/2006/relationships/hyperlink" Target="https://www.google.com/maps/search/?api=1&amp;query=43.6732390840267,-79.4371947284647" TargetMode="External" Id="rId1073" /><Relationship Type="http://schemas.openxmlformats.org/officeDocument/2006/relationships/hyperlink" Target="https://ckan0.cf.opendata.inter.prod-toronto.ca/api/3/action/datastore_search?resource_id=a96c0ba4-3026-402b-b09d-5b1268b8f810&amp;filters=%7B%22PERMIT_NUM%22%3A%5B%2206+130115+BLD%22%2C%2206+130115+PLB%22%5D%7D" TargetMode="External" Id="rId1074" /><Relationship Type="http://schemas.openxmlformats.org/officeDocument/2006/relationships/hyperlink" Target="https://secure.toronto.ca/ApplicationStatus/setup.do?action=init" TargetMode="External" Id="rId1075" /><Relationship Type="http://schemas.openxmlformats.org/officeDocument/2006/relationships/hyperlink" Target="https://www.google.com/maps/search/?api=1&amp;query=43.6725989534253,-79.4362168978745" TargetMode="External" Id="rId1076" /><Relationship Type="http://schemas.openxmlformats.org/officeDocument/2006/relationships/hyperlink" Target="https://ckan0.cf.opendata.inter.prod-toronto.ca/api/3/action/datastore_search?resource_id=a96c0ba4-3026-402b-b09d-5b1268b8f810&amp;filters=%7B%22PERMIT_NUM%22%3A%2210+108512+BLD%22%7D" TargetMode="External" Id="rId1077" /><Relationship Type="http://schemas.openxmlformats.org/officeDocument/2006/relationships/hyperlink" Target="https://secure.toronto.ca/ApplicationStatus/setup.do?action=init" TargetMode="External" Id="rId1078" /><Relationship Type="http://schemas.openxmlformats.org/officeDocument/2006/relationships/hyperlink" Target="https://www.google.com/maps/search/?api=1&amp;query=43.6725989534253,-79.4362168978745" TargetMode="External" Id="rId1079" /><Relationship Type="http://schemas.openxmlformats.org/officeDocument/2006/relationships/hyperlink" Target="https://ckan0.cf.opendata.inter.prod-toronto.ca/api/3/action/datastore_search?resource_id=a96c0ba4-3026-402b-b09d-5b1268b8f810&amp;filters=%7B%22PERMIT_NUM%22%3A%2210+149745+PSA%22%7D" TargetMode="External" Id="rId1080" /><Relationship Type="http://schemas.openxmlformats.org/officeDocument/2006/relationships/hyperlink" Target="https://www.toronto.ca/services-payments/building-construction/building-permit/before-you-apply-for-a-building-permit/preliminary-zoning-reviews-information/request-building-records/" TargetMode="External" Id="rId1081" /><Relationship Type="http://schemas.openxmlformats.org/officeDocument/2006/relationships/hyperlink" Target="https://www.google.com/maps/search/?api=1&amp;query=43.6694684002234,-79.438284495786" TargetMode="External" Id="rId1082" /><Relationship Type="http://schemas.openxmlformats.org/officeDocument/2006/relationships/hyperlink" Target="https://ckan0.cf.opendata.inter.prod-toronto.ca/api/3/action/datastore_search?resource_id=6d0229af-bc54-46de-9c2b-26759b01dd05&amp;filters=%7B%22PERMIT_NUM%22%3A%2216+124502+PSA%22%7D" TargetMode="External" Id="rId1083" /><Relationship Type="http://schemas.openxmlformats.org/officeDocument/2006/relationships/hyperlink" Target="https://www.toronto.ca/services-payments/building-construction/building-permit/before-you-apply-for-a-building-permit/preliminary-zoning-reviews-information/request-building-records/" TargetMode="External" Id="rId1084" /><Relationship Type="http://schemas.openxmlformats.org/officeDocument/2006/relationships/hyperlink" Target="https://www.google.com/maps/search/?api=1&amp;query=43.6694684002234,-79.438284495786" TargetMode="External" Id="rId1085" /><Relationship Type="http://schemas.openxmlformats.org/officeDocument/2006/relationships/hyperlink" Target="https://ckan0.cf.opendata.inter.prod-toronto.ca/api/3/action/datastore_search?resource_id=a96c0ba4-3026-402b-b09d-5b1268b8f810&amp;filters=%7B%22PERMIT_NUM%22%3A%2219+263324+BLD%22%7D" TargetMode="External" Id="rId1086" /><Relationship Type="http://schemas.openxmlformats.org/officeDocument/2006/relationships/hyperlink" Target="https://www.toronto.ca/services-payments/building-construction/building-permit/before-you-apply-for-a-building-permit/preliminary-zoning-reviews-information/request-building-records/" TargetMode="External" Id="rId1087" /><Relationship Type="http://schemas.openxmlformats.org/officeDocument/2006/relationships/hyperlink" Target="https://www.google.com/maps/search/?api=1&amp;query=43.6732390840267,-79.4371947284647" TargetMode="External" Id="rId1088" /><Relationship Type="http://schemas.openxmlformats.org/officeDocument/2006/relationships/hyperlink" Target="https://ckan0.cf.opendata.inter.prod-toronto.ca/api/3/action/datastore_search?resource_id=a96c0ba4-3026-402b-b09d-5b1268b8f810&amp;filters=%7B%22PERMIT_NUM%22%3A%2223+112768+BLD%22%7D" TargetMode="External" Id="rId1089" /><Relationship Type="http://schemas.openxmlformats.org/officeDocument/2006/relationships/hyperlink" Target="https://www.toronto.ca/services-payments/building-construction/building-permit/before-you-apply-for-a-building-permit/preliminary-zoning-reviews-information/request-building-records/" TargetMode="External" Id="rId1090" /><Relationship Type="http://schemas.openxmlformats.org/officeDocument/2006/relationships/hyperlink" Target="https://www.google.com/maps/search/?api=1&amp;query=43.6694684002234,-79.438284495786" TargetMode="External" Id="rId1091" /><Relationship Type="http://schemas.openxmlformats.org/officeDocument/2006/relationships/hyperlink" Target="https://ckan0.cf.opendata.inter.prod-toronto.ca/api/3/action/datastore_search?resource_id=a96c0ba4-3026-402b-b09d-5b1268b8f810&amp;filters=%7B%22PERMIT_NUM%22%3A%5B%2224+124092+BLD%22%2C%2224+124092+HVA%22%2C%2224+124092+PLB%22%5D%7D" TargetMode="External" Id="rId1092" /><Relationship Type="http://schemas.openxmlformats.org/officeDocument/2006/relationships/hyperlink" Target="https://www.toronto.ca/services-payments/building-construction/building-permit/before-you-apply-for-a-building-permit/preliminary-zoning-reviews-information/request-building-records/" TargetMode="External" Id="rId1093" /><Relationship Type="http://schemas.openxmlformats.org/officeDocument/2006/relationships/hyperlink" Target="https://www.google.com/maps/search/?api=1&amp;query=43.6696939525419,-79.437188231959" TargetMode="External" Id="rId1094" /><Relationship Type="http://schemas.openxmlformats.org/officeDocument/2006/relationships/hyperlink" Target="https://ckan0.cf.opendata.inter.prod-toronto.ca/api/3/action/datastore_search?resource_id=6d0229af-bc54-46de-9c2b-26759b01dd05&amp;filters=%7B%22PERMIT_NUM%22%3A%2215+226769+PSA%22%7D" TargetMode="External" Id="rId1095" /><Relationship Type="http://schemas.openxmlformats.org/officeDocument/2006/relationships/hyperlink" Target="https://www.toronto.ca/services-payments/building-construction/building-permit/before-you-apply-for-a-building-permit/preliminary-zoning-reviews-information/request-building-records/" TargetMode="External" Id="rId1096" /><Relationship Type="http://schemas.openxmlformats.org/officeDocument/2006/relationships/hyperlink" Target="https://www.google.com/maps/search/?api=1&amp;query=43.6705706442738,-79.4360164307705" TargetMode="External" Id="rId1097" /><Relationship Type="http://schemas.openxmlformats.org/officeDocument/2006/relationships/hyperlink" Target="https://ckan0.cf.opendata.inter.prod-toronto.ca/api/3/action/datastore_search?resource_id=a96c0ba4-3026-402b-b09d-5b1268b8f810&amp;filters=%7B%22PERMIT_NUM%22%3A%5B%2221+191358+BLD%22%2C%2221+191358+DRN%22%2C%2221+191358+HVA%22%2C%2221+191358+PLB%22%5D%7D" TargetMode="External" Id="rId1098" /><Relationship Type="http://schemas.openxmlformats.org/officeDocument/2006/relationships/hyperlink" Target="https://www.toronto.ca/services-payments/building-construction/building-permit/before-you-apply-for-a-building-permit/preliminary-zoning-reviews-information/request-building-records/" TargetMode="External" Id="rId1099" /><Relationship Type="http://schemas.openxmlformats.org/officeDocument/2006/relationships/hyperlink" Target="https://www.google.com/maps/search/?api=1&amp;query=43.6713609858499,-79.4357079256392" TargetMode="External" Id="rId1100" /><Relationship Type="http://schemas.openxmlformats.org/officeDocument/2006/relationships/hyperlink" Target="https://ckan0.cf.opendata.inter.prod-toronto.ca/api/3/action/datastore_search?resource_id=a96c0ba4-3026-402b-b09d-5b1268b8f810&amp;filters=%7B%22PERMIT_NUM%22%3A%2201+188099+BLD%22%7D" TargetMode="External" Id="rId1101" /><Relationship Type="http://schemas.openxmlformats.org/officeDocument/2006/relationships/hyperlink" Target="https://www.toronto.ca/services-payments/building-construction/building-permit/before-you-apply-for-a-building-permit/preliminary-zoning-reviews-information/request-building-records/" TargetMode="External" Id="rId1102" /><Relationship Type="http://schemas.openxmlformats.org/officeDocument/2006/relationships/hyperlink" Target="https://www.google.com/maps/search/?api=1&amp;query=43.6694486032219,-79.4383789084751" TargetMode="External" Id="rId1103" /><Relationship Type="http://schemas.openxmlformats.org/officeDocument/2006/relationships/hyperlink" Target="https://ckan0.cf.opendata.inter.prod-toronto.ca/api/3/action/datastore_search?resource_id=6d0229af-bc54-46de-9c2b-26759b01dd05&amp;filters=%7B%22PERMIT_NUM%22%3A%2216+180011+PSA%22%7D" TargetMode="External" Id="rId1104" /><Relationship Type="http://schemas.openxmlformats.org/officeDocument/2006/relationships/hyperlink" Target="https://www.toronto.ca/services-payments/building-construction/building-permit/before-you-apply-for-a-building-permit/preliminary-zoning-reviews-information/request-building-records/" TargetMode="External" Id="rId1105" /><Relationship Type="http://schemas.openxmlformats.org/officeDocument/2006/relationships/hyperlink" Target="https://www.google.com/maps/search/?api=1&amp;query=43.6697160378159,-79.4370827672331" TargetMode="External" Id="rId1106" /><Relationship Type="http://schemas.openxmlformats.org/officeDocument/2006/relationships/hyperlink" Target="https://ckan0.cf.opendata.inter.prod-toronto.ca/api/3/action/datastore_search?resource_id=6d0229af-bc54-46de-9c2b-26759b01dd05&amp;filters=%7B%22PERMIT_NUM%22%3A%2215+227403+PSA%22%7D" TargetMode="External" Id="rId1107" /><Relationship Type="http://schemas.openxmlformats.org/officeDocument/2006/relationships/hyperlink" Target="https://secure.toronto.ca/ApplicationStatus/setup.do?action=init" TargetMode="External" Id="rId1108" /><Relationship Type="http://schemas.openxmlformats.org/officeDocument/2006/relationships/hyperlink" Target="https://www.google.com/maps/search/?api=1&amp;query=43.6694288241516,-79.4384733334844" TargetMode="External" Id="rId1109" /><Relationship Type="http://schemas.openxmlformats.org/officeDocument/2006/relationships/hyperlink" Target="https://ckan0.cf.opendata.inter.prod-toronto.ca/api/3/action/datastore_search?resource_id=6d0229af-bc54-46de-9c2b-26759b01dd05&amp;filters=%7B%22PERMIT_NUM%22%3A%2219+203282+BLD%22%7D" TargetMode="External" Id="rId1110" /><Relationship Type="http://schemas.openxmlformats.org/officeDocument/2006/relationships/hyperlink" Target="https://www.toronto.ca/services-payments/building-construction/building-permit/before-you-apply-for-a-building-permit/preliminary-zoning-reviews-information/request-building-records/" TargetMode="External" Id="rId1111" /><Relationship Type="http://schemas.openxmlformats.org/officeDocument/2006/relationships/hyperlink" Target="https://www.google.com/maps/search/?api=1&amp;query=43.6727279984229,-79.4362688832345" TargetMode="External" Id="rId1112" /><Relationship Type="http://schemas.openxmlformats.org/officeDocument/2006/relationships/hyperlink" Target="https://ckan0.cf.opendata.inter.prod-toronto.ca/api/3/action/datastore_search?resource_id=a96c0ba4-3026-402b-b09d-5b1268b8f810&amp;filters=%7B%22PERMIT_NUM%22%3A%2207+255421+DEM%22%7D" TargetMode="External" Id="rId1113" /><Relationship Type="http://schemas.openxmlformats.org/officeDocument/2006/relationships/hyperlink" Target="https://www.toronto.ca/services-payments/building-construction/building-permit/before-you-apply-for-a-building-permit/preliminary-zoning-reviews-information/request-building-records/" TargetMode="External" Id="rId1114" /><Relationship Type="http://schemas.openxmlformats.org/officeDocument/2006/relationships/hyperlink" Target="https://www.google.com/maps/search/?api=1&amp;query=43.6694556521875,-79.4380143396992" TargetMode="External" Id="rId1115" /><Relationship Type="http://schemas.openxmlformats.org/officeDocument/2006/relationships/hyperlink" Target="https://ckan0.cf.opendata.inter.prod-toronto.ca/api/3/action/datastore_search?resource_id=6d0229af-bc54-46de-9c2b-26759b01dd05&amp;filters=%7B%22PERMIT_NUM%22%3A%2215+227468+PSA%22%7D" TargetMode="External" Id="rId1116" /><Relationship Type="http://schemas.openxmlformats.org/officeDocument/2006/relationships/hyperlink" Target="https://secure.toronto.ca/ApplicationStatus/setup.do?action=init" TargetMode="External" Id="rId1117" /><Relationship Type="http://schemas.openxmlformats.org/officeDocument/2006/relationships/hyperlink" Target="https://www.google.com/maps/search/?api=1&amp;query=43.6697346474777,-79.4369918146894" TargetMode="External" Id="rId1118" /><Relationship Type="http://schemas.openxmlformats.org/officeDocument/2006/relationships/hyperlink" Target="https://ckan0.cf.opendata.inter.prod-toronto.ca/api/3/action/datastore_search?resource_id=6d0229af-bc54-46de-9c2b-26759b01dd05&amp;filters=%7B%22PERMIT_NUM%22%3A%2216+260473+PSA%22%7D" TargetMode="External" Id="rId1119" /><Relationship Type="http://schemas.openxmlformats.org/officeDocument/2006/relationships/hyperlink" Target="https://secure.toronto.ca/ApplicationStatus/setup.do?action=init" TargetMode="External" Id="rId1120" /><Relationship Type="http://schemas.openxmlformats.org/officeDocument/2006/relationships/hyperlink" Target="https://www.google.com/maps/search/?api=1&amp;query=43.6697070103986,-79.4399632950217" TargetMode="External" Id="rId1121" /><Relationship Type="http://schemas.openxmlformats.org/officeDocument/2006/relationships/hyperlink" Target="https://ckan0.cf.opendata.inter.prod-toronto.ca/api/3/action/datastore_search?resource_id=6d0229af-bc54-46de-9c2b-26759b01dd05&amp;filters=%7B%22PERMIT_NUM%22%3A%2221+134147+HVA%22%7D" TargetMode="External" Id="rId1122" /><Relationship Type="http://schemas.openxmlformats.org/officeDocument/2006/relationships/hyperlink" Target="https://www.toronto.ca/services-payments/building-construction/building-permit/before-you-apply-for-a-building-permit/preliminary-zoning-reviews-information/request-building-records/" TargetMode="External" Id="rId1123" /><Relationship Type="http://schemas.openxmlformats.org/officeDocument/2006/relationships/hyperlink" Target="https://www.google.com/maps/search/?api=1&amp;query=43.6729185740205,-79.4405100614775" TargetMode="External" Id="rId1124" /><Relationship Type="http://schemas.openxmlformats.org/officeDocument/2006/relationships/hyperlink" Target="https://ckan0.cf.opendata.inter.prod-toronto.ca/api/3/action/datastore_search?resource_id=6d0229af-bc54-46de-9c2b-26759b01dd05&amp;filters=%7B%22PERMIT_NUM%22%3A%2299+021203+BLD%22%7D" TargetMode="External" Id="rId1125" /><Relationship Type="http://schemas.openxmlformats.org/officeDocument/2006/relationships/hyperlink" Target="https://www.toronto.ca/services-payments/building-construction/building-permit/before-you-apply-for-a-building-permit/preliminary-zoning-reviews-information/request-building-records/" TargetMode="External" Id="rId1126" /><Relationship Type="http://schemas.openxmlformats.org/officeDocument/2006/relationships/hyperlink" Target="https://www.google.com/maps/search/?api=1&amp;query=43.6694090716806,-79.4385671507817" TargetMode="External" Id="rId1127" /><Relationship Type="http://schemas.openxmlformats.org/officeDocument/2006/relationships/hyperlink" Target="https://ckan0.cf.opendata.inter.prod-toronto.ca/api/3/action/datastore_search?resource_id=a96c0ba4-3026-402b-b09d-5b1268b8f810&amp;filters=%7B%22PERMIT_NUM%22%3A%5B%2217+146207+BLD%22%2C%2217+146207+HVA%22%2C%2217+146207+PLB%22%5D%7D" TargetMode="External" Id="rId1128" /><Relationship Type="http://schemas.openxmlformats.org/officeDocument/2006/relationships/hyperlink" Target="https://www.toronto.ca/services-payments/building-construction/building-permit/before-you-apply-for-a-building-permit/preliminary-zoning-reviews-information/request-building-records/" TargetMode="External" Id="rId1129" /><Relationship Type="http://schemas.openxmlformats.org/officeDocument/2006/relationships/hyperlink" Target="https://www.google.com/maps/search/?api=1&amp;query=43.6694090716806,-79.4385671507817" TargetMode="External" Id="rId1130" /><Relationship Type="http://schemas.openxmlformats.org/officeDocument/2006/relationships/hyperlink" Target="https://ckan0.cf.opendata.inter.prod-toronto.ca/api/3/action/datastore_search?resource_id=a96c0ba4-3026-402b-b09d-5b1268b8f810&amp;filters=%7B%22PERMIT_NUM%22%3A%2218+215084+BLD%22%7D" TargetMode="External" Id="rId1131" /><Relationship Type="http://schemas.openxmlformats.org/officeDocument/2006/relationships/hyperlink" Target="https://www.toronto.ca/services-payments/building-construction/building-permit/before-you-apply-for-a-building-permit/preliminary-zoning-reviews-information/request-building-records/" TargetMode="External" Id="rId1132" /><Relationship Type="http://schemas.openxmlformats.org/officeDocument/2006/relationships/hyperlink" Target="https://www.google.com/maps/search/?api=1&amp;query=43.6694090716806,-79.4385671507817" TargetMode="External" Id="rId1133" /><Relationship Type="http://schemas.openxmlformats.org/officeDocument/2006/relationships/hyperlink" Target="https://ckan0.cf.opendata.inter.prod-toronto.ca/api/3/action/datastore_search?resource_id=a96c0ba4-3026-402b-b09d-5b1268b8f810&amp;filters=%7B%22PERMIT_NUM%22%3A%2219+200130+BLD%22%7D" TargetMode="External" Id="rId1134" /><Relationship Type="http://schemas.openxmlformats.org/officeDocument/2006/relationships/hyperlink" Target="https://www.toronto.ca/services-payments/building-construction/building-permit/before-you-apply-for-a-building-permit/preliminary-zoning-reviews-information/request-building-records/" TargetMode="External" Id="rId1135" /><Relationship Type="http://schemas.openxmlformats.org/officeDocument/2006/relationships/hyperlink" Target="https://www.google.com/maps/search/?api=1&amp;query=43.6694090716806,-79.4385671507817" TargetMode="External" Id="rId1136" /><Relationship Type="http://schemas.openxmlformats.org/officeDocument/2006/relationships/hyperlink" Target="https://ckan0.cf.opendata.inter.prod-toronto.ca/api/3/action/datastore_search?resource_id=a96c0ba4-3026-402b-b09d-5b1268b8f810&amp;filters=%7B%22PERMIT_NUM%22%3A%2221+194127+BLD%22%7D" TargetMode="External" Id="rId1137" /><Relationship Type="http://schemas.openxmlformats.org/officeDocument/2006/relationships/hyperlink" Target="https://www.toronto.ca/services-payments/building-construction/building-permit/before-you-apply-for-a-building-permit/preliminary-zoning-reviews-information/request-building-records/" TargetMode="External" Id="rId1138" /><Relationship Type="http://schemas.openxmlformats.org/officeDocument/2006/relationships/hyperlink" Target="https://www.google.com/maps/search/?api=1&amp;query=43.6694090716806,-79.4385671507817" TargetMode="External" Id="rId1139" /><Relationship Type="http://schemas.openxmlformats.org/officeDocument/2006/relationships/hyperlink" Target="https://ckan0.cf.opendata.inter.prod-toronto.ca/api/3/action/datastore_search?resource_id=a96c0ba4-3026-402b-b09d-5b1268b8f810&amp;filters=%7B%22PERMIT_NUM%22%3A%2223+223140+BLD%22%7D" TargetMode="External" Id="rId1140" /><Relationship Type="http://schemas.openxmlformats.org/officeDocument/2006/relationships/hyperlink" Target="https://www.toronto.ca/services-payments/building-construction/building-permit/before-you-apply-for-a-building-permit/preliminary-zoning-reviews-information/request-building-records/" TargetMode="External" Id="rId1141" /><Relationship Type="http://schemas.openxmlformats.org/officeDocument/2006/relationships/hyperlink" Target="https://www.google.com/maps/search/?api=1&amp;query=43.6694090716806,-79.4385671507817" TargetMode="External" Id="rId1142" /><Relationship Type="http://schemas.openxmlformats.org/officeDocument/2006/relationships/hyperlink" Target="https://ckan0.cf.opendata.inter.prod-toronto.ca/api/3/action/datastore_search?resource_id=a96c0ba4-3026-402b-b09d-5b1268b8f810&amp;filters=%7B%22PERMIT_NUM%22%3A%2224+121771+BLD%22%7D" TargetMode="External" Id="rId1143" /><Relationship Type="http://schemas.openxmlformats.org/officeDocument/2006/relationships/hyperlink" Target="https://secure.toronto.ca/ApplicationStatus/setup.do?action=init" TargetMode="External" Id="rId1144" /><Relationship Type="http://schemas.openxmlformats.org/officeDocument/2006/relationships/hyperlink" Target="https://www.google.com/maps/search/?api=1&amp;query=43.6697538756872,-79.4368963848479" TargetMode="External" Id="rId1145" /><Relationship Type="http://schemas.openxmlformats.org/officeDocument/2006/relationships/hyperlink" Target="https://ckan0.cf.opendata.inter.prod-toronto.ca/api/3/action/datastore_search?resource_id=6d0229af-bc54-46de-9c2b-26759b01dd05&amp;filters=%7B%22PERMIT_NUM%22%3A%2216+260472+PSA%22%7D" TargetMode="External" Id="rId1146" /><Relationship Type="http://schemas.openxmlformats.org/officeDocument/2006/relationships/hyperlink" Target="https://www.toronto.ca/services-payments/building-construction/building-permit/before-you-apply-for-a-building-permit/preliminary-zoning-reviews-information/request-building-records/" TargetMode="External" Id="rId1147" /><Relationship Type="http://schemas.openxmlformats.org/officeDocument/2006/relationships/hyperlink" Target="https://www.google.com/maps/search/?api=1&amp;query=43.6712333321185,-79.4413549336662" TargetMode="External" Id="rId1148" /><Relationship Type="http://schemas.openxmlformats.org/officeDocument/2006/relationships/hyperlink" Target="https://ckan0.cf.opendata.inter.prod-toronto.ca/api/3/action/datastore_search?resource_id=6d0229af-bc54-46de-9c2b-26759b01dd05&amp;filters=%7B%22PERMIT_NUM%22%3A%5B%2299+105989+BLD%22%2C%2299+105989+COM%22%5D%7D" TargetMode="External" Id="rId1149" /><Relationship Type="http://schemas.openxmlformats.org/officeDocument/2006/relationships/hyperlink" Target="https://www.toronto.ca/services-payments/building-construction/building-permit/before-you-apply-for-a-building-permit/preliminary-zoning-reviews-information/request-building-records/" TargetMode="External" Id="rId1150" /><Relationship Type="http://schemas.openxmlformats.org/officeDocument/2006/relationships/hyperlink" Target="https://www.google.com/maps/search/?api=1&amp;query=43.6729110160684,-79.4405853689474" TargetMode="External" Id="rId1151" /><Relationship Type="http://schemas.openxmlformats.org/officeDocument/2006/relationships/hyperlink" Target="https://ckan0.cf.opendata.inter.prod-toronto.ca/api/3/action/datastore_search?resource_id=a96c0ba4-3026-402b-b09d-5b1268b8f810&amp;filters=%7B%22PERMIT_NUM%22%3A%5B%2219+103021+BLD%22%2C%2219+103021+PLB%22%5D%7D" TargetMode="External" Id="rId1152" /><Relationship Type="http://schemas.openxmlformats.org/officeDocument/2006/relationships/hyperlink" Target="https://www.toronto.ca/services-payments/building-construction/building-permit/before-you-apply-for-a-building-permit/preliminary-zoning-reviews-information/request-building-records/" TargetMode="External" Id="rId1153" /><Relationship Type="http://schemas.openxmlformats.org/officeDocument/2006/relationships/hyperlink" Target="https://www.google.com/maps/search/?api=1&amp;query=43.6700695918378,-79.4406679450033" TargetMode="External" Id="rId1154" /><Relationship Type="http://schemas.openxmlformats.org/officeDocument/2006/relationships/hyperlink" Target="https://ckan0.cf.opendata.inter.prod-toronto.ca/api/3/action/datastore_search?resource_id=a96c0ba4-3026-402b-b09d-5b1268b8f810&amp;filters=%7B%22PERMIT_NUM%22%3A%2210+167667+BLD%22%7D" TargetMode="External" Id="rId1155" /><Relationship Type="http://schemas.openxmlformats.org/officeDocument/2006/relationships/hyperlink" Target="https://secure.toronto.ca/ApplicationStatus/setup.do?action=init" TargetMode="External" Id="rId1156" /><Relationship Type="http://schemas.openxmlformats.org/officeDocument/2006/relationships/hyperlink" Target="https://www.google.com/maps/search/?api=1&amp;query=43.6693490694279,-79.4388537120472" TargetMode="External" Id="rId1157" /><Relationship Type="http://schemas.openxmlformats.org/officeDocument/2006/relationships/hyperlink" Target="https://ckan0.cf.opendata.inter.prod-toronto.ca/api/3/action/datastore_search?resource_id=6d0229af-bc54-46de-9c2b-26759b01dd05&amp;filters=%7B%22PERMIT_NUM%22%3A%2216+260477+PSA%22%7D" TargetMode="External" Id="rId1158" /><Relationship Type="http://schemas.openxmlformats.org/officeDocument/2006/relationships/hyperlink" Target="https://secure.toronto.ca/ApplicationStatus/setup.do?action=init" TargetMode="External" Id="rId1159" /><Relationship Type="http://schemas.openxmlformats.org/officeDocument/2006/relationships/hyperlink" Target="https://www.google.com/maps/search/?api=1&amp;query=43.6712061392682,-79.4414430432782" TargetMode="External" Id="rId1160" /><Relationship Type="http://schemas.openxmlformats.org/officeDocument/2006/relationships/hyperlink" Target="https://ckan0.cf.opendata.inter.prod-toronto.ca/api/3/action/datastore_search?resource_id=6d0229af-bc54-46de-9c2b-26759b01dd05&amp;filters=%7B%22PERMIT_NUM%22%3A%2226+136454+BLD%22%7D" TargetMode="External" Id="rId1161" /><Relationship Type="http://schemas.openxmlformats.org/officeDocument/2006/relationships/hyperlink" Target="https://www.toronto.ca/services-payments/building-construction/building-permit/before-you-apply-for-a-building-permit/preliminary-zoning-reviews-information/request-building-records/" TargetMode="External" Id="rId1162" /><Relationship Type="http://schemas.openxmlformats.org/officeDocument/2006/relationships/hyperlink" Target="https://www.google.com/maps/search/?api=1&amp;query=43.6693263244608,-79.4389573780848" TargetMode="External" Id="rId1163" /><Relationship Type="http://schemas.openxmlformats.org/officeDocument/2006/relationships/hyperlink" Target="https://ckan0.cf.opendata.inter.prod-toronto.ca/api/3/action/datastore_search?resource_id=6d0229af-bc54-46de-9c2b-26759b01dd05&amp;filters=%7B%22PERMIT_NUM%22%3A%2215+244489+PSA%22%7D" TargetMode="External" Id="rId1164" /><Relationship Type="http://schemas.openxmlformats.org/officeDocument/2006/relationships/hyperlink" Target="https://www.toronto.ca/services-payments/building-construction/building-permit/before-you-apply-for-a-building-permit/preliminary-zoning-reviews-information/request-building-records/" TargetMode="External" Id="rId1165" /><Relationship Type="http://schemas.openxmlformats.org/officeDocument/2006/relationships/hyperlink" Target="https://www.google.com/maps/search/?api=1&amp;query=43.6700341787248,-79.4407858351345" TargetMode="External" Id="rId1166" /><Relationship Type="http://schemas.openxmlformats.org/officeDocument/2006/relationships/hyperlink" Target="https://ckan0.cf.opendata.inter.prod-toronto.ca/api/3/action/datastore_search?resource_id=a96c0ba4-3026-402b-b09d-5b1268b8f810&amp;filters=%7B%22PERMIT_NUM%22%3A%2218+265405+DRN%22%7D" TargetMode="External" Id="rId1167" /><Relationship Type="http://schemas.openxmlformats.org/officeDocument/2006/relationships/hyperlink" Target="https://www.toronto.ca/services-payments/building-construction/building-permit/before-you-apply-for-a-building-permit/preliminary-zoning-reviews-information/request-building-records/" TargetMode="External" Id="rId1168" /><Relationship Type="http://schemas.openxmlformats.org/officeDocument/2006/relationships/hyperlink" Target="https://www.google.com/maps/search/?api=1&amp;query=43.6721376187808,-79.4414511407753" TargetMode="External" Id="rId1169" /><Relationship Type="http://schemas.openxmlformats.org/officeDocument/2006/relationships/hyperlink" Target="https://ckan0.cf.opendata.inter.prod-toronto.ca/api/3/action/datastore_search?resource_id=a96c0ba4-3026-402b-b09d-5b1268b8f810&amp;filters=%7B%22PERMIT_NUM%22%3A%5B%2220+113234+BLD%22%2C%2220+113234+HVA%22%2C%2220+113234+PLB%22%5D%7D" TargetMode="External" Id="rId1170" /><Relationship Type="http://schemas.openxmlformats.org/officeDocument/2006/relationships/hyperlink" Target="https://secure.toronto.ca/ApplicationStatus/setup.do?action=init" TargetMode="External" Id="rId1171" /><Relationship Type="http://schemas.openxmlformats.org/officeDocument/2006/relationships/hyperlink" Target="https://www.google.com/maps/search/?api=1&amp;query=43.6716949155079,-79.4415742784037" TargetMode="External" Id="rId1172" /><Relationship Type="http://schemas.openxmlformats.org/officeDocument/2006/relationships/hyperlink" Target="https://ckan0.cf.opendata.inter.prod-toronto.ca/api/3/action/datastore_search?resource_id=6d0229af-bc54-46de-9c2b-26759b01dd05&amp;filters=%7B%22PERMIT_NUM%22%3A%2225+179161+BLD%22%7D" TargetMode="External" Id="rId1173" /><Relationship Type="http://schemas.openxmlformats.org/officeDocument/2006/relationships/hyperlink" Target="https://www.toronto.ca/services-payments/building-construction/building-permit/before-you-apply-for-a-building-permit/preliminary-zoning-reviews-information/request-building-records/" TargetMode="External" Id="rId1174" /><Relationship Type="http://schemas.openxmlformats.org/officeDocument/2006/relationships/hyperlink" Target="https://www.google.com/maps/search/?api=1&amp;query=43.6727501560726,-79.4410425845502" TargetMode="External" Id="rId1175" /><Relationship Type="http://schemas.openxmlformats.org/officeDocument/2006/relationships/hyperlink" Target="https://ckan0.cf.opendata.inter.prod-toronto.ca/api/3/action/datastore_search?resource_id=a96c0ba4-3026-402b-b09d-5b1268b8f810&amp;filters=%7B%22PERMIT_NUM%22%3A%2217+238798+PSA%22%7D" TargetMode="External" Id="rId1176" /><Relationship Type="http://schemas.openxmlformats.org/officeDocument/2006/relationships/table" Target="/xl/tables/table2.xml" Id="rId1177" /></Relationships>
</file>

<file path=xl/worksheets/_rels/sheet6.xml.rels><Relationships xmlns="http://schemas.openxmlformats.org/package/2006/relationships"><Relationship Type="http://schemas.openxmlformats.org/officeDocument/2006/relationships/hyperlink" Target="https://www.toronto.ca/city-government/planning-development/application-details/?id=5887980&amp;pid=173426&amp;title=1423-DUFFERIN-ST" TargetMode="External" Id="rId1" /><Relationship Type="http://schemas.openxmlformats.org/officeDocument/2006/relationships/hyperlink" Target="https://www.google.com/maps/search/?api=1&amp;query=43.6712109510117,-79.4399433186461" TargetMode="External" Id="rId2" /><Relationship Type="http://schemas.openxmlformats.org/officeDocument/2006/relationships/hyperlink" Target="https://ckan0.cf.opendata.inter.prod-toronto.ca/api/3/action/datastore_search?resource_id=8907d8ed-c515-4ce9-b674-9f8c6eefcf0d&amp;filters=%7B%22APPLICATION%23%22%3A%2226+210726+STE+09+SA%22%7D" TargetMode="External" Id="rId3" /><Relationship Type="http://schemas.openxmlformats.org/officeDocument/2006/relationships/hyperlink" Target="https://www.toronto.ca/city-government/planning-development/application-details/?id=5725239&amp;pid=173426&amp;title=1423-DUFFERIN-ST" TargetMode="External" Id="rId4" /><Relationship Type="http://schemas.openxmlformats.org/officeDocument/2006/relationships/hyperlink" Target="https://www.google.com/maps/search/?api=1&amp;query=43.6712109510117,-79.4399433186461" TargetMode="External" Id="rId5" /><Relationship Type="http://schemas.openxmlformats.org/officeDocument/2006/relationships/hyperlink" Target="https://ckan0.cf.opendata.inter.prod-toronto.ca/api/3/action/datastore_search?resource_id=8907d8ed-c515-4ce9-b674-9f8c6eefcf0d&amp;filters=%7B%22APPLICATION%23%22%3A%2225+240145+STE+09+OZ%22%7D" TargetMode="External" Id="rId6" /><Relationship Type="http://schemas.openxmlformats.org/officeDocument/2006/relationships/hyperlink" Target="mailto:developmentreview@toronto.ca?subject=Application%2014%20213788%20WET%2017%20SA" TargetMode="External" Id="rId7" /><Relationship Type="http://schemas.openxmlformats.org/officeDocument/2006/relationships/hyperlink" Target="https://www.google.com/maps/search/?api=1&amp;query=43.6719761905478,-79.4402193705627" TargetMode="External" Id="rId8" /><Relationship Type="http://schemas.openxmlformats.org/officeDocument/2006/relationships/hyperlink" Target="https://ckan0.cf.opendata.inter.prod-toronto.ca/api/3/action/datastore_search?resource_id=8907d8ed-c515-4ce9-b674-9f8c6eefcf0d&amp;filters=%7B%22APPLICATION%23%22%3A%2214+213788+WET+17+SA%22%7D" TargetMode="External" Id="rId9" /><Relationship Type="http://schemas.openxmlformats.org/officeDocument/2006/relationships/table" Target="/xl/tables/table3.xml" Id="rId10" /></Relationships>
</file>

<file path=xl/worksheets/_rels/sheet7.xml.rels><Relationships xmlns="http://schemas.openxmlformats.org/package/2006/relationships"><Relationship Type="http://schemas.openxmlformats.org/officeDocument/2006/relationships/hyperlink" Target="https://open.toronto.ca/dataset/committee-of-adjustment-applications/" TargetMode="External" Id="rId1" /><Relationship Type="http://schemas.openxmlformats.org/officeDocument/2006/relationships/hyperlink" Target="https://open.toronto.ca/dataset/building-permits-active-permits/" TargetMode="External" Id="rId2" /><Relationship Type="http://schemas.openxmlformats.org/officeDocument/2006/relationships/hyperlink" Target="https://open.toronto.ca/dataset/building-permits-cleared-permits/" TargetMode="External" Id="rId3" /><Relationship Type="http://schemas.openxmlformats.org/officeDocument/2006/relationships/hyperlink" Target="https://open.toronto.ca/dataset/development-applications/" TargetMode="External" Id="rId4" /><Relationship Type="http://schemas.openxmlformats.org/officeDocument/2006/relationships/hyperlink" Target="https://open.toronto.ca/dataset/zoning-by-law/" TargetMode="External" Id="rId5" /><Relationship Type="http://schemas.openxmlformats.org/officeDocument/2006/relationships/hyperlink" Target="https://open.toronto.ca/dataset/secondary-plans/" TargetMode="External" Id="rId6" /><Relationship Type="http://schemas.openxmlformats.org/officeDocument/2006/relationships/hyperlink" Target="https://open.toronto.ca/dataset/site-and-area-specific-policies/" TargetMode="External" Id="rId7" /><Relationship Type="http://schemas.openxmlformats.org/officeDocument/2006/relationships/hyperlink" Target="https://open.toronto.ca/dataset/address-points-municipal-toronto-one-address-repository/" TargetMode="External" Id="rId8" /><Relationship Type="http://schemas.openxmlformats.org/officeDocument/2006/relationships/hyperlink" Target="https://www.toronto.ca/city-government/planning-development/application-information-centre/" TargetMode="External" Id="rId9" /><Relationship Type="http://schemas.openxmlformats.org/officeDocument/2006/relationships/hyperlink" Target="https://www.toronto.ca/city-government/planning-development/committee-of-adjustment/more-information-about-application/" TargetMode="External" Id="rId10" /><Relationship Type="http://schemas.openxmlformats.org/officeDocument/2006/relationships/hyperlink" Target="https://secure.toronto.ca/ResearchRequest/index.do" TargetMode="External" Id="rId11" /><Relationship Type="http://schemas.openxmlformats.org/officeDocument/2006/relationships/hyperlink" Target="https://secure.toronto.ca/ApplicationStatus/setup.do?action=init" TargetMode="External" Id="rId12" /><Relationship Type="http://schemas.openxmlformats.org/officeDocument/2006/relationships/hyperlink" Target="https://www.toronto.ca/services-payments/building-construction/building-permit/before-you-apply-for-a-building-permit/preliminary-zoning-reviews-information/request-building-records/" TargetMode="External" Id="rId13" /><Relationship Type="http://schemas.openxmlformats.org/officeDocument/2006/relationships/hyperlink" Target="https://www.toronto.ca/city-government/planning-development/zoning-by-law-preliminary-zoning-reviews/zoning-by-law-569-2013-2/" TargetMode="External" Id="rId14" /><Relationship Type="http://schemas.openxmlformats.org/officeDocument/2006/relationships/hyperlink" Target="https://map.toronto.ca/gccmaps/?app=zoning&amp;center=-79.418365,43.694811&amp;scale=1128" TargetMode="External" Id="rId15" /><Relationship Type="http://schemas.openxmlformats.org/officeDocument/2006/relationships/hyperlink" Target="https://open.toronto.ca/open-data-licence/" TargetMode="External" Id="rId16" /></Relationships>
</file>

<file path=xl/worksheets/sheet1.xml><?xml version="1.0" encoding="utf-8"?>
<worksheet xmlns="http://schemas.openxmlformats.org/spreadsheetml/2006/main">
  <sheetPr>
    <tabColor rgb="004D6B84"/>
    <outlinePr summaryBelow="1" summaryRight="1"/>
    <pageSetUpPr fitToPage="1"/>
  </sheetPr>
  <dimension ref="A1:V11"/>
  <sheetViews>
    <sheetView showGridLines="0" zoomScale="110" workbookViewId="0">
      <pane xSplit="1" ySplit="5" topLeftCell="B6" activePane="bottomRight" state="frozen"/>
      <selection pane="topRight"/>
      <selection pane="bottomLeft"/>
      <selection pane="bottomRight" activeCell="A1" sqref="A1"/>
    </sheetView>
  </sheetViews>
  <sheetFormatPr baseColWidth="8" defaultRowHeight="15"/>
  <cols>
    <col width="22" customWidth="1" min="1" max="1"/>
    <col width="18" customWidth="1" min="2" max="2"/>
    <col width="25" customWidth="1" min="3" max="3"/>
    <col width="9" customWidth="1" min="4" max="4"/>
    <col width="8" customWidth="1" min="5" max="5"/>
    <col width="27" customWidth="1" min="6" max="6"/>
    <col width="30" customWidth="1" min="7" max="7"/>
    <col width="8" customWidth="1" min="8" max="8"/>
    <col width="11" customWidth="1" min="9" max="9"/>
    <col width="9" customWidth="1" min="10" max="10"/>
    <col width="9" customWidth="1" min="11" max="11"/>
    <col width="9" customWidth="1" min="12" max="12"/>
    <col width="17" customWidth="1" min="13" max="13"/>
    <col width="11" customWidth="1" min="14" max="14"/>
    <col width="10" customWidth="1" min="15" max="15"/>
    <col width="9" customWidth="1" min="16" max="16"/>
    <col width="10" customWidth="1" min="17" max="17"/>
    <col width="11" customWidth="1" min="18" max="18"/>
    <col width="23" customWidth="1" min="19" max="19"/>
    <col width="12" customWidth="1" min="20" max="20"/>
    <col width="7" customWidth="1" min="21" max="21"/>
    <col width="10" customWidth="1" min="22" max="22"/>
  </cols>
  <sheetData>
    <row r="1" ht="34" customHeight="1">
      <c r="A1" s="1" t="inlineStr">
        <is>
          <t>Parcis Zoning Reports</t>
        </is>
      </c>
    </row>
    <row r="2" ht="37.4" customHeight="1">
      <c r="A2" s="2" t="inlineStr">
        <is>
          <t>City of Toronto  ·  2 lots  ·  as-of-right envelope, the lot's history and Committee of Adjustment precedent nearby  ·  runs 30 Sep 2026  ·  source: City of Toronto Open Data  ·  Parcis · © 2026 Joshua Seaton. All rights reserved. Evaluation copy.</t>
        </is>
      </c>
    </row>
    <row r="3" ht="8" customHeight="1"/>
    <row r="4" ht="18" customHeight="1">
      <c r="A4" s="3" t="inlineStr">
        <is>
          <t>LOT</t>
        </is>
      </c>
      <c r="B4" s="4" t="n"/>
      <c r="C4" s="3" t="inlineStr">
        <is>
          <t>AS OF RIGHT</t>
        </is>
      </c>
      <c r="D4" s="4" t="n"/>
      <c r="E4" s="4" t="n"/>
      <c r="F4" s="3" t="inlineStr">
        <is>
          <t>THIS LOT</t>
        </is>
      </c>
      <c r="G4" s="4" t="n"/>
      <c r="H4" s="3" t="inlineStr">
        <is>
          <t>NEIGHBOUR PRECEDENT</t>
        </is>
      </c>
      <c r="I4" s="4" t="n"/>
      <c r="J4" s="4" t="n"/>
      <c r="K4" s="4" t="n"/>
      <c r="L4" s="4" t="n"/>
      <c r="M4" s="4" t="n"/>
      <c r="N4" s="4" t="n"/>
      <c r="O4" s="4" t="n"/>
      <c r="P4" s="3" t="inlineStr">
        <is>
          <t>SIGNS OF CHANGE</t>
        </is>
      </c>
      <c r="Q4" s="4" t="n"/>
      <c r="R4" s="4" t="n"/>
      <c r="S4" s="3" t="inlineStr">
        <is>
          <t>DATA</t>
        </is>
      </c>
      <c r="T4" s="3" t="inlineStr">
        <is>
          <t>OPEN</t>
        </is>
      </c>
      <c r="U4" s="4" t="n"/>
      <c r="V4" s="4" t="n"/>
    </row>
    <row r="5" ht="42" customHeight="1">
      <c r="A5" s="5" t="inlineStr">
        <is>
          <t>Address</t>
        </is>
      </c>
      <c r="B5" s="5" t="inlineStr">
        <is>
          <t>Ward</t>
        </is>
      </c>
      <c r="C5" s="5" t="inlineStr">
        <is>
          <t>Zone</t>
        </is>
      </c>
      <c r="D5" s="5" t="inlineStr">
        <is>
          <t>Max height (m)</t>
        </is>
      </c>
      <c r="E5" s="5" t="inlineStr">
        <is>
          <t>Max FSI</t>
        </is>
      </c>
      <c r="F5" s="5" t="inlineStr">
        <is>
          <t>Last decision</t>
        </is>
      </c>
      <c r="G5" s="5" t="inlineStr">
        <is>
          <t>Permit</t>
        </is>
      </c>
      <c r="H5" s="6" t="inlineStr">
        <is>
          <t>Radius (m)</t>
        </is>
      </c>
      <c r="I5" s="6" t="inlineStr">
        <is>
          <t>Applications</t>
        </is>
      </c>
      <c r="J5" s="6" t="inlineStr">
        <is>
          <t>Approved</t>
        </is>
      </c>
      <c r="K5" s="6" t="inlineStr">
        <is>
          <t>Decided</t>
        </is>
      </c>
      <c r="L5" s="6" t="inlineStr">
        <is>
          <t>Approval rate</t>
        </is>
      </c>
      <c r="M5" s="5" t="inlineStr">
        <is>
          <t>Precedent</t>
        </is>
      </c>
      <c r="N5" s="6" t="inlineStr">
        <is>
          <t>3-storey new houses approved</t>
        </is>
      </c>
      <c r="O5" s="6" t="inlineStr">
        <is>
          <t>Weeks to hearing</t>
        </is>
      </c>
      <c r="P5" s="6" t="inlineStr">
        <is>
          <t>Awaiting hearing</t>
        </is>
      </c>
      <c r="Q5" s="6" t="inlineStr">
        <is>
          <t>Severance attempts</t>
        </is>
      </c>
      <c r="R5" s="6" t="inlineStr">
        <is>
          <t>Rezonings / OPAs (OZ)</t>
        </is>
      </c>
      <c r="S5" s="5" t="inlineStr">
        <is>
          <t>Data check</t>
        </is>
      </c>
      <c r="T5" s="6" t="inlineStr">
        <is>
          <t>Report</t>
        </is>
      </c>
      <c r="U5" s="6" t="inlineStr">
        <is>
          <t>Map</t>
        </is>
      </c>
      <c r="V5" s="6" t="inlineStr">
        <is>
          <t>Street View</t>
        </is>
      </c>
    </row>
    <row r="6" ht="35.2" customHeight="1">
      <c r="A6" s="7" t="inlineStr">
        <is>
          <t>32 Ardmore Rd</t>
        </is>
      </c>
      <c r="B6" s="8" t="inlineStr">
        <is>
          <t>Toronto–St. Paul's</t>
        </is>
      </c>
      <c r="C6" s="8" t="inlineStr">
        <is>
          <t>RD (f12.0; d0.65) (x1321)</t>
        </is>
      </c>
      <c r="D6" s="9" t="n">
        <v>12</v>
      </c>
      <c r="E6" s="10" t="n">
        <v>0.65</v>
      </c>
      <c r="F6" s="8" t="inlineStr">
        <is>
          <t>Minor variance approved 29 Sep 2021</t>
        </is>
      </c>
      <c r="G6" s="8" t="inlineStr">
        <is>
          <t>New-building permit issued Feb 2022, under inspection</t>
        </is>
      </c>
      <c r="H6" s="11" t="n">
        <v>250</v>
      </c>
      <c r="I6" s="12">
        <f>COUNTIFS(Applications!$A:$A,$A6)</f>
        <v>45</v>
      </c>
      <c r="J6" s="12">
        <f>COUNTIFS(Applications!$A:$A,$A6,Applications!$I:$I,"Approved")</f>
        <v>37</v>
      </c>
      <c r="K6" s="12">
        <f>COUNTIFS(Applications!$A:$A,$A6,Applications!$I:$I,"Approved")+COUNTIFS(Applications!$A:$A,$A6,Applications!$I:$I,"Refused")</f>
        <v>39</v>
      </c>
      <c r="L6" s="13">
        <f>IF(K6&gt;0,J6/K6,"")</f>
        <v>0.9487179487179487</v>
      </c>
      <c r="M6" s="14" t="inlineStr">
        <is>
          <t>Strong precedent</t>
        </is>
      </c>
      <c r="N6" s="12">
        <f>COUNTIFS(Applications!$A:$A,$A6,Applications!$G:$G,"New house",Applications!$I:$I,"Approved",Applications!$H:$H,3)</f>
        <v>15</v>
      </c>
      <c r="O6" s="11" t="n">
        <v>8</v>
      </c>
      <c r="P6" s="12">
        <f>COUNTIFS(Applications!$A:$A,$A6,Applications!$I:$I,"Awaiting hearing")</f>
        <v>1</v>
      </c>
      <c r="Q6" s="12">
        <f>COUNTIFS(Applications!$A:$A,$A6,Applications!$G:$G,"Severance or consent")</f>
        <v>2</v>
      </c>
      <c r="R6" s="12">
        <f>COUNTIFS('Development Applications'!$A:$A,$A6,'Development Applications'!$F:$F,"Official Plan Amendment / Rezoning")</f>
        <v>0</v>
      </c>
      <c r="S6" s="15" t="inlineStr">
        <is>
          <t>✓ All 11 sources checked</t>
        </is>
      </c>
      <c r="T6" s="16" t="inlineStr">
        <is>
          <t>Open report</t>
        </is>
      </c>
      <c r="U6" s="16" t="inlineStr">
        <is>
          <t>Map</t>
        </is>
      </c>
      <c r="V6" s="16" t="inlineStr">
        <is>
          <t>Street View</t>
        </is>
      </c>
    </row>
    <row r="7" ht="35.2" customHeight="1">
      <c r="A7" s="7" t="inlineStr">
        <is>
          <t>65 Bristol Ave</t>
        </is>
      </c>
      <c r="B7" s="8" t="inlineStr">
        <is>
          <t>Davenport</t>
        </is>
      </c>
      <c r="C7" s="8" t="inlineStr">
        <is>
          <t>R (d0.6) (x739)</t>
        </is>
      </c>
      <c r="D7" s="9" t="n">
        <v>13</v>
      </c>
      <c r="E7" s="10" t="n">
        <v>0.6</v>
      </c>
      <c r="F7" s="8" t="inlineStr">
        <is>
          <t>Minor variance approved 9 Nov 2022</t>
        </is>
      </c>
      <c r="G7" s="8" t="inlineStr">
        <is>
          <t>New-building permit issued Jun 2026, with a revision issued</t>
        </is>
      </c>
      <c r="H7" s="11" t="n">
        <v>250</v>
      </c>
      <c r="I7" s="12">
        <f>COUNTIFS(Applications!$A:$A,$A7)</f>
        <v>25</v>
      </c>
      <c r="J7" s="12">
        <f>COUNTIFS(Applications!$A:$A,$A7,Applications!$I:$I,"Approved")</f>
        <v>20</v>
      </c>
      <c r="K7" s="12">
        <f>COUNTIFS(Applications!$A:$A,$A7,Applications!$I:$I,"Approved")+COUNTIFS(Applications!$A:$A,$A7,Applications!$I:$I,"Refused")</f>
        <v>21</v>
      </c>
      <c r="L7" s="13">
        <f>IF(K7&gt;0,J7/K7,"")</f>
        <v>0.9523809523809523</v>
      </c>
      <c r="M7" s="14" t="inlineStr">
        <is>
          <t>Strong precedent</t>
        </is>
      </c>
      <c r="N7" s="12">
        <f>COUNTIFS(Applications!$A:$A,$A7,Applications!$G:$G,"New house",Applications!$I:$I,"Approved",Applications!$H:$H,3)</f>
        <v>2</v>
      </c>
      <c r="O7" s="11" t="n">
        <v>11</v>
      </c>
      <c r="P7" s="12">
        <f>COUNTIFS(Applications!$A:$A,$A7,Applications!$I:$I,"Awaiting hearing")</f>
        <v>0</v>
      </c>
      <c r="Q7" s="12">
        <f>COUNTIFS(Applications!$A:$A,$A7,Applications!$G:$G,"Severance or consent")</f>
        <v>1</v>
      </c>
      <c r="R7" s="12">
        <f>COUNTIFS('Development Applications'!$A:$A,$A7,'Development Applications'!$F:$F,"Official Plan Amendment / Rezoning")</f>
        <v>1</v>
      </c>
      <c r="S7" s="15" t="inlineStr">
        <is>
          <t>✓ All 11 sources checked</t>
        </is>
      </c>
      <c r="T7" s="16" t="inlineStr">
        <is>
          <t>Open report</t>
        </is>
      </c>
      <c r="U7" s="16" t="inlineStr">
        <is>
          <t>Map</t>
        </is>
      </c>
      <c r="V7" s="16" t="inlineStr">
        <is>
          <t>Street View</t>
        </is>
      </c>
    </row>
    <row r="9" ht="16.5" customHeight="1">
      <c r="A9" s="17" t="inlineStr">
        <is>
          <t>Click an address for its one-page brief, Open report for the interactive map and tables, or go to the Applications, Permits and Development Applications sheets for every record. Each record opens the City's own page for it (or its search page, with the number to paste); the last column of each record sheet opens the raw Open Data row.</t>
        </is>
      </c>
    </row>
    <row r="10" ht="16.5" customHeight="1">
      <c r="A10" s="17" t="inlineStr">
        <is>
          <t>Precedent: approved ÷ decided (approved or refused) Committee of Adjustment files within the radius. Strong ≥ 80%, Mixed 50–79%, Weak &lt; 50%; fewer than 3 decided files is too few to call.</t>
        </is>
      </c>
    </row>
    <row r="11" ht="16.5" customHeight="1">
      <c r="A11" s="17" t="inlineStr">
        <is>
          <t>Counts are formulas over the Applications sheet, so they update if you edit it. Weeks to hearing is a median; hover the cell for its basis.</t>
        </is>
      </c>
    </row>
  </sheetData>
  <mergeCells count="11">
    <mergeCell ref="A2:V2"/>
    <mergeCell ref="A4:B4"/>
    <mergeCell ref="F4:G4"/>
    <mergeCell ref="A10:V10"/>
    <mergeCell ref="A11:V11"/>
    <mergeCell ref="A1:V1"/>
    <mergeCell ref="C4:E4"/>
    <mergeCell ref="T4:V4"/>
    <mergeCell ref="A9:V9"/>
    <mergeCell ref="H4:O4"/>
    <mergeCell ref="P4:R4"/>
  </mergeCells>
  <hyperlinks>
    <hyperlink ref="A6" location="'32 Ardmore Rd'!A1" display="32 Ardmore Rd"/>
    <hyperlink xmlns:r="http://schemas.openxmlformats.org/officeDocument/2006/relationships" ref="T6" r:id="rId1"/>
    <hyperlink xmlns:r="http://schemas.openxmlformats.org/officeDocument/2006/relationships" ref="U6" r:id="rId2"/>
    <hyperlink xmlns:r="http://schemas.openxmlformats.org/officeDocument/2006/relationships" ref="V6" r:id="rId3"/>
    <hyperlink ref="A7" location="'65 Bristol Ave'!A1" display="65 Bristol Ave"/>
    <hyperlink xmlns:r="http://schemas.openxmlformats.org/officeDocument/2006/relationships" ref="T7" r:id="rId4"/>
    <hyperlink xmlns:r="http://schemas.openxmlformats.org/officeDocument/2006/relationships" ref="U7" r:id="rId5"/>
    <hyperlink xmlns:r="http://schemas.openxmlformats.org/officeDocument/2006/relationships" ref="V7" r:id="rId6"/>
  </hyperlinks>
  <pageMargins left="0.4" right="0.4" top="0.5" bottom="0.5" header="0.5" footer="0.5"/>
  <pageSetup orientation="landscape" paperSize="1" fitToHeight="0" fitToWidth="1"/>
  <headerFooter>
    <oddHeader>&amp;R&amp;8 &amp;K8A7E72Parcis · Evaluation copy</oddHeader>
    <oddFooter>&amp;L&amp;8 Parcis · © 2026 Joshua Seaton. All rights reserved. Evaluation copy.&amp;C&amp;8 &amp;A&amp;R&amp;8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00F0D77A"/>
    <outlinePr summaryBelow="1" summaryRight="1"/>
    <pageSetUpPr fitToPage="1"/>
  </sheetPr>
  <dimension ref="A1:J57"/>
  <sheetViews>
    <sheetView showGridLines="0"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s>
  <sheetData>
    <row r="1" ht="38" customHeight="1">
      <c r="A1" s="18" t="inlineStr">
        <is>
          <t>32 Ardmore Rd</t>
        </is>
      </c>
      <c r="I1" s="19" t="inlineStr">
        <is>
          <t>RD</t>
        </is>
      </c>
    </row>
    <row r="2" ht="36.6" customHeight="1">
      <c r="A2" s="2" t="inlineStr">
        <is>
          <t>Toronto–St. Paul's  ·  Postal area M5P  ·  250 m radius  ·  Run 30 Sep 2026  ·  Parcis · © 2026 Joshua Seaton. All rights reserved. Evaluation copy.</t>
        </is>
      </c>
    </row>
    <row r="3" ht="22" customHeight="1">
      <c r="A3" s="20" t="inlineStr">
        <is>
          <t>← Summary</t>
        </is>
      </c>
      <c r="B3" s="20" t="inlineStr">
        <is>
          <t>Interactive report</t>
        </is>
      </c>
      <c r="D3" s="20" t="inlineStr">
        <is>
          <t>Google Maps</t>
        </is>
      </c>
      <c r="E3" s="20" t="inlineStr">
        <is>
          <t>Street View</t>
        </is>
      </c>
      <c r="F3" s="20" t="inlineStr">
        <is>
          <t>City zoning map</t>
        </is>
      </c>
      <c r="H3" s="20" t="inlineStr">
        <is>
          <t>All 45 applications →</t>
        </is>
      </c>
    </row>
    <row r="4"/>
    <row r="5" ht="24" customHeight="1">
      <c r="A5" s="21" t="inlineStr">
        <is>
          <t>BOTTOM LINE</t>
        </is>
      </c>
      <c r="B5" s="22" t="n"/>
      <c r="C5" s="22" t="n"/>
      <c r="D5" s="22" t="n"/>
      <c r="E5" s="22" t="n"/>
      <c r="F5" s="22" t="n"/>
      <c r="G5" s="22" t="n"/>
      <c r="H5" s="22" t="n"/>
      <c r="I5" s="22" t="n"/>
      <c r="J5" s="22" t="n"/>
    </row>
    <row r="6" ht="28.6" customHeight="1">
      <c r="A6" s="23" t="inlineStr">
        <is>
          <t>Strong precedent: 37 of 39 decided applications within 250 m were approved (95%).</t>
        </is>
      </c>
    </row>
    <row r="7" ht="153.93" customHeight="1">
      <c r="A7" s="24" t="inlineStr">
        <is>
          <t>The lot's recent approval history demonstrates administrative readiness: a minor variance was approved 152 days after filing in 2021, and the resulting new-house permit 22 111410 is now under inspection. Site-specific exception 1321 may modify the base RD zone rules of minimum lot frontage 12.0 m and maximum floor space index 0.65, so the exception's specific provisions warrant careful review. Neighbour precedent strongly supports approval prospects, with 37 of 39 decided applications approved (95%) within 250 m, including 15 three-storey new houses that demonstrate the area's receptiveness to residential intensification. The median time from filing to hearing across 9 decided files in the last three years is 8 weeks, providing a baseline for timeline planning. The developer should confirm the exact scope of site-specific exception 1321 and ensure the current project aligns with the variance already granted under A0554/21TEY.</t>
        </is>
      </c>
    </row>
    <row r="8">
      <c r="A8" s="25" t="inlineStr">
        <is>
          <t>Written by Claude (zoning-narrative-claude-haiku-4-5) from the computed facts; every number in it was checked against them before use.</t>
        </is>
      </c>
    </row>
    <row r="9"/>
    <row r="10" ht="24" customHeight="1">
      <c r="A10" s="21" t="inlineStr">
        <is>
          <t>KEY NUMBERS</t>
        </is>
      </c>
      <c r="B10" s="22" t="n"/>
      <c r="C10" s="22" t="n"/>
      <c r="D10" s="22" t="n"/>
      <c r="E10" s="22" t="n"/>
      <c r="F10" s="22" t="n"/>
      <c r="G10" s="22" t="n"/>
      <c r="H10" s="22" t="n"/>
      <c r="I10" s="22" t="n"/>
      <c r="J10" s="22" t="n"/>
    </row>
    <row r="11" ht="17.6" customHeight="1">
      <c r="A11" s="26" t="inlineStr">
        <is>
          <t>Applications within 250 m</t>
        </is>
      </c>
      <c r="C11" s="26" t="inlineStr">
        <is>
          <t>Approval rate</t>
        </is>
      </c>
      <c r="E11" s="26" t="inlineStr">
        <is>
          <t>Weeks to hearing</t>
        </is>
      </c>
      <c r="G11" s="26" t="inlineStr">
        <is>
          <t>New houses approved</t>
        </is>
      </c>
      <c r="I11" s="26" t="inlineStr">
        <is>
          <t>Awaiting hearing</t>
        </is>
      </c>
    </row>
    <row r="12" ht="30" customHeight="1">
      <c r="A12" s="27">
        <f>COUNTIFS(Applications!$A:$A,"32 Ardmore Rd")</f>
        <v>45</v>
      </c>
      <c r="C12" s="28">
        <f>IFERROR(COUNTIFS(Applications!$A:$A,"32 Ardmore Rd",Applications!$I:$I,"Approved")/(COUNTIFS(Applications!$A:$A,"32 Ardmore Rd",Applications!$I:$I,"Approved")+COUNTIFS(Applications!$A:$A,"32 Ardmore Rd",Applications!$I:$I,"Refused")),"–")</f>
        <v>0.9487179487179487</v>
      </c>
      <c r="E12" s="29" t="n">
        <v>8</v>
      </c>
      <c r="G12" s="29">
        <f>COUNTIFS(Applications!$A:$A,"32 Ardmore Rd",Applications!$G:$G,"New house",Applications!$I:$I,"Approved")</f>
        <v>22</v>
      </c>
      <c r="I12" s="29">
        <f>COUNTIFS(Applications!$A:$A,"32 Ardmore Rd",Applications!$I:$I,"Awaiting hearing")</f>
        <v>1</v>
      </c>
    </row>
    <row r="13" ht="30.8" customHeight="1">
      <c r="A13" s="17" t="inlineStr">
        <is>
          <t>Committee of Adjustment files</t>
        </is>
      </c>
      <c r="C13" s="17" t="inlineStr">
        <is>
          <t>37 of 39 decided</t>
        </is>
      </c>
      <c r="E13" s="17" t="inlineStr">
        <is>
          <t>median, last 3 yrs (9 files)</t>
        </is>
      </c>
      <c r="G13" s="17" t="inlineStr">
        <is>
          <t>15 of them three storeys</t>
        </is>
      </c>
      <c r="I13" s="17" t="inlineStr">
        <is>
          <t>filed, not yet heard</t>
        </is>
      </c>
    </row>
    <row r="14"/>
    <row r="15" ht="24" customHeight="1">
      <c r="A15" s="21" t="inlineStr">
        <is>
          <t>WHAT YOU CAN BUILD AS-OF-RIGHT</t>
        </is>
      </c>
      <c r="B15" s="22" t="n"/>
      <c r="C15" s="22" t="n"/>
      <c r="D15" s="22" t="n"/>
      <c r="E15" s="22" t="n"/>
      <c r="F15" s="22" t="n"/>
      <c r="G15" s="22" t="n"/>
      <c r="H15" s="22" t="n"/>
      <c r="I15" s="22" t="n"/>
      <c r="J15" s="22" t="n"/>
    </row>
    <row r="16" ht="30.4" customHeight="1">
      <c r="A16" s="25" t="inlineStr">
        <is>
          <t>Zone string decoded, plus the overlays and plans on top of it. The decoder reads the label only; read the by-law and any exception before design.</t>
        </is>
      </c>
    </row>
    <row r="17" ht="34.7" customHeight="1">
      <c r="A17" s="30" t="inlineStr">
        <is>
          <t>Zone</t>
        </is>
      </c>
      <c r="B17" s="31" t="n"/>
      <c r="C17" s="31" t="n"/>
      <c r="D17" s="32" t="inlineStr">
        <is>
          <t>RD (f12.0; d0.65) (x1321)
Residential Detached zone</t>
        </is>
      </c>
      <c r="E17" s="31" t="n"/>
      <c r="F17" s="31" t="n"/>
      <c r="G17" s="31" t="n"/>
      <c r="H17" s="31" t="n"/>
      <c r="I17" s="33" t="inlineStr">
        <is>
          <t>By-law chapter</t>
        </is>
      </c>
      <c r="J17" s="31" t="n"/>
    </row>
    <row r="18" ht="34.7" customHeight="1">
      <c r="A18" s="30" t="inlineStr">
        <is>
          <t xml:space="preserve">   f12.0</t>
        </is>
      </c>
      <c r="B18" s="31" t="n"/>
      <c r="C18" s="31" t="n"/>
      <c r="D18" s="34" t="inlineStr">
        <is>
          <t>Minimum lot frontage 12.0 m
Matters for any severance.</t>
        </is>
      </c>
      <c r="E18" s="31" t="n"/>
      <c r="F18" s="31" t="n"/>
      <c r="G18" s="31" t="n"/>
      <c r="H18" s="31" t="n"/>
      <c r="I18" s="31" t="n"/>
      <c r="J18" s="31" t="n"/>
    </row>
    <row r="19" ht="34.7" customHeight="1">
      <c r="A19" s="30" t="inlineStr">
        <is>
          <t xml:space="preserve">   d0.65</t>
        </is>
      </c>
      <c r="B19" s="31" t="n"/>
      <c r="C19" s="31" t="n"/>
      <c r="D19" s="34" t="inlineStr">
        <is>
          <t>Maximum floor space index 0.65
Gross floor area up to 0.65 × lot area.</t>
        </is>
      </c>
      <c r="E19" s="31" t="n"/>
      <c r="F19" s="31" t="n"/>
      <c r="G19" s="31" t="n"/>
      <c r="H19" s="31" t="n"/>
      <c r="I19" s="31" t="n"/>
      <c r="J19" s="31" t="n"/>
    </row>
    <row r="20" ht="34.7" customHeight="1">
      <c r="A20" s="30" t="inlineStr">
        <is>
          <t xml:space="preserve">   x1321</t>
        </is>
      </c>
      <c r="B20" s="31" t="n"/>
      <c r="C20" s="31" t="n"/>
      <c r="D20" s="34" t="inlineStr">
        <is>
          <t>Site-specific exception 1321
Can change the standard rules; read it before design.</t>
        </is>
      </c>
      <c r="E20" s="31" t="n"/>
      <c r="F20" s="31" t="n"/>
      <c r="G20" s="31" t="n"/>
      <c r="H20" s="31" t="n"/>
      <c r="I20" s="33" t="inlineStr">
        <is>
          <t>Exception text</t>
        </is>
      </c>
      <c r="J20" s="31" t="n"/>
    </row>
    <row r="21" ht="34.7" customHeight="1">
      <c r="A21" s="30" t="inlineStr">
        <is>
          <t>Maximum height</t>
        </is>
      </c>
      <c r="B21" s="31" t="n"/>
      <c r="C21" s="31" t="n"/>
      <c r="D21" s="34" t="inlineStr">
        <is>
          <t>12 m
Height overlay HT 12.0</t>
        </is>
      </c>
      <c r="E21" s="31" t="n"/>
      <c r="F21" s="31" t="n"/>
      <c r="G21" s="31" t="n"/>
      <c r="H21" s="31" t="n"/>
      <c r="I21" s="31" t="n"/>
      <c r="J21" s="31" t="n"/>
    </row>
    <row r="22" ht="34.7" customHeight="1">
      <c r="A22" s="30" t="inlineStr">
        <is>
          <t>Lot coverage overlay</t>
        </is>
      </c>
      <c r="B22" s="31" t="n"/>
      <c r="C22" s="31" t="n"/>
      <c r="D22" s="34" t="inlineStr">
        <is>
          <t>No lot coverage overlay at this lot
Nearest coverage area is about 1.6 km away.</t>
        </is>
      </c>
      <c r="E22" s="31" t="n"/>
      <c r="F22" s="31" t="n"/>
      <c r="G22" s="31" t="n"/>
      <c r="H22" s="31" t="n"/>
      <c r="I22" s="31" t="n"/>
      <c r="J22" s="31" t="n"/>
    </row>
    <row r="23" ht="19.85" customHeight="1">
      <c r="A23" s="30" t="inlineStr">
        <is>
          <t>Building setback overlay</t>
        </is>
      </c>
      <c r="B23" s="31" t="n"/>
      <c r="C23" s="31" t="n"/>
      <c r="D23" s="34" t="inlineStr">
        <is>
          <t>None at this lot</t>
        </is>
      </c>
      <c r="E23" s="31" t="n"/>
      <c r="F23" s="31" t="n"/>
      <c r="G23" s="31" t="n"/>
      <c r="H23" s="31" t="n"/>
      <c r="I23" s="31" t="n"/>
      <c r="J23" s="31" t="n"/>
    </row>
    <row r="24" ht="19.85" customHeight="1">
      <c r="A24" s="30" t="inlineStr">
        <is>
          <t>Secondary plan</t>
        </is>
      </c>
      <c r="B24" s="31" t="n"/>
      <c r="C24" s="31" t="n"/>
      <c r="D24" s="34" t="inlineStr">
        <is>
          <t>None</t>
        </is>
      </c>
      <c r="E24" s="31" t="n"/>
      <c r="F24" s="31" t="n"/>
      <c r="G24" s="31" t="n"/>
      <c r="H24" s="31" t="n"/>
      <c r="I24" s="31" t="n"/>
      <c r="J24" s="31" t="n"/>
    </row>
    <row r="25" ht="19.85" customHeight="1">
      <c r="A25" s="30" t="inlineStr">
        <is>
          <t>Site and area specific policy</t>
        </is>
      </c>
      <c r="B25" s="31" t="n"/>
      <c r="C25" s="31" t="n"/>
      <c r="D25" s="34" t="inlineStr">
        <is>
          <t>None</t>
        </is>
      </c>
      <c r="E25" s="31" t="n"/>
      <c r="F25" s="31" t="n"/>
      <c r="G25" s="31" t="n"/>
      <c r="H25" s="31" t="n"/>
      <c r="I25" s="31" t="n"/>
      <c r="J25" s="31" t="n"/>
    </row>
    <row r="26" ht="34.7" customHeight="1">
      <c r="A26" s="30" t="inlineStr">
        <is>
          <t>Zone source</t>
        </is>
      </c>
      <c r="B26" s="31" t="n"/>
      <c r="C26" s="31" t="n"/>
      <c r="D26" s="34" t="inlineStr">
        <is>
          <t>City zoning map
Matches variance file A0554/21TEY</t>
        </is>
      </c>
      <c r="E26" s="31" t="n"/>
      <c r="F26" s="31" t="n"/>
      <c r="G26" s="31" t="n"/>
      <c r="H26" s="31" t="n"/>
      <c r="I26" s="31" t="n"/>
      <c r="J26" s="31" t="n"/>
    </row>
    <row r="27"/>
    <row r="28" ht="24" customHeight="1">
      <c r="A28" s="21" t="inlineStr">
        <is>
          <t>THIS LOT'S HISTORY</t>
        </is>
      </c>
      <c r="B28" s="22" t="n"/>
      <c r="C28" s="22" t="n"/>
      <c r="D28" s="22" t="n"/>
      <c r="E28" s="22" t="n"/>
      <c r="F28" s="22" t="n"/>
      <c r="G28" s="22" t="n"/>
      <c r="H28" s="22" t="n"/>
      <c r="I28" s="22" t="n"/>
      <c r="J28" s="22" t="n"/>
    </row>
    <row r="29" ht="30.4" customHeight="1">
      <c r="A29" s="25" t="inlineStr">
        <is>
          <t>Minor variance A0554/21TEY approved 29 Sep 2021, 152 days after filing; new-house permit 22 111410 issued 23 Feb 2022, now under inspection.</t>
        </is>
      </c>
    </row>
    <row r="30" ht="19.8" customHeight="1">
      <c r="A30" s="35" t="inlineStr">
        <is>
          <t>Date</t>
        </is>
      </c>
      <c r="B30" s="36" t="inlineStr">
        <is>
          <t>What happened</t>
        </is>
      </c>
      <c r="E30" s="36" t="inlineStr">
        <is>
          <t>File or permit</t>
        </is>
      </c>
      <c r="G30" s="36" t="inlineStr">
        <is>
          <t>Detail</t>
        </is>
      </c>
      <c r="J30" s="37" t="inlineStr">
        <is>
          <t>Source</t>
        </is>
      </c>
    </row>
    <row r="31" ht="32.5" customHeight="1">
      <c r="A31" s="38" t="n">
        <v>44316</v>
      </c>
      <c r="B31" s="39" t="inlineStr">
        <is>
          <t>Minor variance filed</t>
        </is>
      </c>
      <c r="C31" s="31" t="n"/>
      <c r="D31" s="31" t="n"/>
      <c r="E31" s="40" t="inlineStr">
        <is>
          <t>A0554/21TEY</t>
        </is>
      </c>
      <c r="F31" s="31" t="n"/>
      <c r="G31" s="41" t="inlineStr">
        <is>
          <t>To construct a two-storey detached dwelling with a rear ground floor terrace.</t>
        </is>
      </c>
      <c r="H31" s="31" t="n"/>
      <c r="I31" s="31" t="n"/>
      <c r="J31" s="33" t="inlineStr">
        <is>
          <t>Request from CoA staff</t>
        </is>
      </c>
    </row>
    <row r="32" ht="32.5" customHeight="1">
      <c r="A32" s="38" t="n">
        <v>44468</v>
      </c>
      <c r="B32" s="39" t="inlineStr">
        <is>
          <t>Variance approved by the Committee of Adjustment</t>
        </is>
      </c>
      <c r="C32" s="31" t="n"/>
      <c r="D32" s="31" t="n"/>
      <c r="E32" s="40" t="inlineStr">
        <is>
          <t>A0554/21TEY</t>
        </is>
      </c>
      <c r="F32" s="31" t="n"/>
      <c r="G32" s="41" t="inlineStr">
        <is>
          <t>152 days after filing.</t>
        </is>
      </c>
      <c r="H32" s="31" t="n"/>
      <c r="I32" s="31" t="n"/>
      <c r="J32" s="33" t="inlineStr">
        <is>
          <t>Request from CoA staff</t>
        </is>
      </c>
    </row>
    <row r="33" ht="46.25" customHeight="1">
      <c r="A33" s="38" t="n">
        <v>44599</v>
      </c>
      <c r="B33" s="39" t="inlineStr">
        <is>
          <t>New-building permit applied for</t>
        </is>
      </c>
      <c r="C33" s="31" t="n"/>
      <c r="D33" s="31" t="n"/>
      <c r="E33" s="40" t="inlineStr">
        <is>
          <t>22 111410</t>
        </is>
      </c>
      <c r="F33" s="31" t="n"/>
      <c r="G33" s="41" t="inlineStr">
        <is>
          <t>Proposal to construct a new 2 storey SFD-detached dwelling with an integral garage and a finished basement.</t>
        </is>
      </c>
      <c r="H33" s="31" t="n"/>
      <c r="I33" s="31" t="n"/>
      <c r="J33" s="33" t="inlineStr">
        <is>
          <t>Check permit status</t>
        </is>
      </c>
    </row>
    <row r="34" ht="32.5" customHeight="1">
      <c r="A34" s="38" t="n">
        <v>44599</v>
      </c>
      <c r="B34" s="39" t="inlineStr">
        <is>
          <t>Demolition permit applied for</t>
        </is>
      </c>
      <c r="C34" s="31" t="n"/>
      <c r="D34" s="31" t="n"/>
      <c r="E34" s="40" t="inlineStr">
        <is>
          <t>22 111400</t>
        </is>
      </c>
      <c r="F34" s="31" t="n"/>
      <c r="G34" s="41" t="inlineStr">
        <is>
          <t>Proposal to demolish the existing 2 storey SFD-detached dwelling.</t>
        </is>
      </c>
      <c r="H34" s="31" t="n"/>
      <c r="I34" s="31" t="n"/>
      <c r="J34" s="33" t="inlineStr">
        <is>
          <t>Building records request</t>
        </is>
      </c>
    </row>
    <row r="35" ht="32.5" customHeight="1">
      <c r="A35" s="38" t="n">
        <v>44615</v>
      </c>
      <c r="B35" s="39" t="inlineStr">
        <is>
          <t>New-building permit issued</t>
        </is>
      </c>
      <c r="C35" s="31" t="n"/>
      <c r="D35" s="31" t="n"/>
      <c r="E35" s="40" t="inlineStr">
        <is>
          <t>22 111410</t>
        </is>
      </c>
      <c r="F35" s="31" t="n"/>
      <c r="G35" s="41" t="inlineStr">
        <is>
          <t>Estimated cost $1,000,000. Cites variance A0554/21TEY.</t>
        </is>
      </c>
      <c r="H35" s="31" t="n"/>
      <c r="I35" s="31" t="n"/>
      <c r="J35" s="33" t="inlineStr">
        <is>
          <t>Check permit status</t>
        </is>
      </c>
    </row>
    <row r="36" ht="19.8" customHeight="1">
      <c r="A36" s="38" t="n">
        <v>44628</v>
      </c>
      <c r="B36" s="39" t="inlineStr">
        <is>
          <t>Demolition permit issued</t>
        </is>
      </c>
      <c r="C36" s="31" t="n"/>
      <c r="D36" s="31" t="n"/>
      <c r="E36" s="40" t="inlineStr">
        <is>
          <t>22 111400</t>
        </is>
      </c>
      <c r="F36" s="31" t="n"/>
      <c r="G36" s="41" t="inlineStr"/>
      <c r="H36" s="31" t="n"/>
      <c r="I36" s="31" t="n"/>
      <c r="J36" s="33" t="inlineStr">
        <is>
          <t>Building records request</t>
        </is>
      </c>
    </row>
    <row r="37" ht="19.8" customHeight="1">
      <c r="A37" s="38" t="n">
        <v>46063</v>
      </c>
      <c r="B37" s="39" t="inlineStr">
        <is>
          <t>Demolition permit closed</t>
        </is>
      </c>
      <c r="C37" s="31" t="n"/>
      <c r="D37" s="31" t="n"/>
      <c r="E37" s="40" t="inlineStr">
        <is>
          <t>22 111400</t>
        </is>
      </c>
      <c r="F37" s="31" t="n"/>
      <c r="G37" s="41" t="inlineStr"/>
      <c r="H37" s="31" t="n"/>
      <c r="I37" s="31" t="n"/>
      <c r="J37" s="33" t="inlineStr">
        <is>
          <t>Building records request</t>
        </is>
      </c>
    </row>
    <row r="38" ht="19.8" customHeight="1">
      <c r="A38" s="38" t="n">
        <v>46295</v>
      </c>
      <c r="B38" s="42" t="inlineStr">
        <is>
          <t>Status at this run</t>
        </is>
      </c>
      <c r="C38" s="31" t="n"/>
      <c r="D38" s="31" t="n"/>
      <c r="E38" s="40" t="inlineStr">
        <is>
          <t>22 111410</t>
        </is>
      </c>
      <c r="F38" s="31" t="n"/>
      <c r="G38" s="41" t="inlineStr">
        <is>
          <t>Permit 22 111410: under inspection.</t>
        </is>
      </c>
      <c r="H38" s="31" t="n"/>
      <c r="I38" s="31" t="n"/>
      <c r="J38" s="33" t="inlineStr">
        <is>
          <t>Check permit status</t>
        </is>
      </c>
    </row>
    <row r="39"/>
    <row r="40" ht="24" customHeight="1">
      <c r="A40" s="21" t="inlineStr">
        <is>
          <t>WHAT THE NEIGHBOURS GOT APPROVED WITHIN 250 M</t>
        </is>
      </c>
      <c r="B40" s="22" t="n"/>
      <c r="C40" s="22" t="n"/>
      <c r="D40" s="22" t="n"/>
      <c r="E40" s="22" t="n"/>
      <c r="F40" s="22" t="n"/>
      <c r="G40" s="22" t="n"/>
      <c r="H40" s="22" t="n"/>
      <c r="I40" s="22" t="n"/>
      <c r="J40" s="22" t="n"/>
    </row>
    <row r="41" ht="17.2" customHeight="1">
      <c r="A41" s="25" t="inlineStr">
        <is>
          <t>Counts are live formulas over the Applications sheet. Approval rate counts approved and refused decisions only.</t>
        </is>
      </c>
    </row>
    <row r="42" ht="30.8" customHeight="1">
      <c r="A42" s="35" t="inlineStr">
        <is>
          <t>Project type</t>
        </is>
      </c>
      <c r="D42" s="6" t="inlineStr">
        <is>
          <t>Applications</t>
        </is>
      </c>
      <c r="E42" s="6" t="inlineStr">
        <is>
          <t>Approved</t>
        </is>
      </c>
      <c r="F42" s="6" t="inlineStr">
        <is>
          <t>Refused</t>
        </is>
      </c>
      <c r="G42" s="6" t="inlineStr">
        <is>
          <t>Awaiting hearing</t>
        </is>
      </c>
      <c r="H42" s="6" t="inlineStr">
        <is>
          <t>Not decided</t>
        </is>
      </c>
      <c r="I42" s="6" t="inlineStr">
        <is>
          <t>Approval rate</t>
        </is>
      </c>
      <c r="J42" s="43" t="n"/>
    </row>
    <row r="43">
      <c r="A43" s="44" t="inlineStr">
        <is>
          <t>New house</t>
        </is>
      </c>
      <c r="B43" s="31" t="n"/>
      <c r="C43" s="31" t="n"/>
      <c r="D43" s="45">
        <f>COUNTIFS(Applications!$A:$A,"32 Ardmore Rd",Applications!$G:$G,"New house")</f>
        <v>26</v>
      </c>
      <c r="E43" s="46">
        <f>COUNTIFS(Applications!$A:$A,"32 Ardmore Rd",Applications!$G:$G,"New house",Applications!$I:$I,"Approved")</f>
        <v>22</v>
      </c>
      <c r="F43" s="46">
        <f>COUNTIFS(Applications!$A:$A,"32 Ardmore Rd",Applications!$G:$G,"New house",Applications!$I:$I,"Refused")</f>
        <v>1</v>
      </c>
      <c r="G43" s="46">
        <f>COUNTIFS(Applications!$A:$A,"32 Ardmore Rd",Applications!$G:$G,"New house",Applications!$I:$I,"Awaiting hearing")</f>
        <v>1</v>
      </c>
      <c r="H43" s="46">
        <f>COUNTIFS(Applications!$A:$A,"32 Ardmore Rd",Applications!$G:$G,"New house",Applications!$I:$I,"Not decided")</f>
        <v>2</v>
      </c>
      <c r="I43" s="47">
        <f>IF(E43+F43&gt;0,E43/(E43+F43),"–")</f>
        <v>0.9565217391304348</v>
      </c>
      <c r="J43" s="31" t="n"/>
    </row>
    <row r="44">
      <c r="A44" s="44" t="inlineStr">
        <is>
          <t>Addition or alteration</t>
        </is>
      </c>
      <c r="B44" s="31" t="n"/>
      <c r="C44" s="31" t="n"/>
      <c r="D44" s="45">
        <f>COUNTIFS(Applications!$A:$A,"32 Ardmore Rd",Applications!$G:$G,"Addition or alteration")</f>
        <v>10</v>
      </c>
      <c r="E44" s="46">
        <f>COUNTIFS(Applications!$A:$A,"32 Ardmore Rd",Applications!$G:$G,"Addition or alteration",Applications!$I:$I,"Approved")</f>
        <v>9</v>
      </c>
      <c r="F44" s="46">
        <f>COUNTIFS(Applications!$A:$A,"32 Ardmore Rd",Applications!$G:$G,"Addition or alteration",Applications!$I:$I,"Refused")</f>
        <v>0</v>
      </c>
      <c r="G44" s="46">
        <f>COUNTIFS(Applications!$A:$A,"32 Ardmore Rd",Applications!$G:$G,"Addition or alteration",Applications!$I:$I,"Awaiting hearing")</f>
        <v>0</v>
      </c>
      <c r="H44" s="46">
        <f>COUNTIFS(Applications!$A:$A,"32 Ardmore Rd",Applications!$G:$G,"Addition or alteration",Applications!$I:$I,"Not decided")</f>
        <v>1</v>
      </c>
      <c r="I44" s="47">
        <f>IF(E44+F44&gt;0,E44/(E44+F44),"–")</f>
        <v>1.0</v>
      </c>
      <c r="J44" s="31" t="n"/>
    </row>
    <row r="45">
      <c r="A45" s="44" t="inlineStr">
        <is>
          <t>Pool, deck or exterior</t>
        </is>
      </c>
      <c r="B45" s="31" t="n"/>
      <c r="C45" s="31" t="n"/>
      <c r="D45" s="45">
        <f>COUNTIFS(Applications!$A:$A,"32 Ardmore Rd",Applications!$G:$G,"Pool, deck or exterior")</f>
        <v>5</v>
      </c>
      <c r="E45" s="46">
        <f>COUNTIFS(Applications!$A:$A,"32 Ardmore Rd",Applications!$G:$G,"Pool, deck or exterior",Applications!$I:$I,"Approved")</f>
        <v>5</v>
      </c>
      <c r="F45" s="46">
        <f>COUNTIFS(Applications!$A:$A,"32 Ardmore Rd",Applications!$G:$G,"Pool, deck or exterior",Applications!$I:$I,"Refused")</f>
        <v>0</v>
      </c>
      <c r="G45" s="46">
        <f>COUNTIFS(Applications!$A:$A,"32 Ardmore Rd",Applications!$G:$G,"Pool, deck or exterior",Applications!$I:$I,"Awaiting hearing")</f>
        <v>0</v>
      </c>
      <c r="H45" s="46">
        <f>COUNTIFS(Applications!$A:$A,"32 Ardmore Rd",Applications!$G:$G,"Pool, deck or exterior",Applications!$I:$I,"Not decided")</f>
        <v>0</v>
      </c>
      <c r="I45" s="47">
        <f>IF(E45+F45&gt;0,E45/(E45+F45),"–")</f>
        <v>1.0</v>
      </c>
      <c r="J45" s="31" t="n"/>
    </row>
    <row r="46">
      <c r="A46" s="44" t="inlineStr">
        <is>
          <t>Legalize existing work</t>
        </is>
      </c>
      <c r="B46" s="31" t="n"/>
      <c r="C46" s="31" t="n"/>
      <c r="D46" s="45">
        <f>COUNTIFS(Applications!$A:$A,"32 Ardmore Rd",Applications!$G:$G,"Legalize existing work")</f>
        <v>2</v>
      </c>
      <c r="E46" s="46">
        <f>COUNTIFS(Applications!$A:$A,"32 Ardmore Rd",Applications!$G:$G,"Legalize existing work",Applications!$I:$I,"Approved")</f>
        <v>1</v>
      </c>
      <c r="F46" s="46">
        <f>COUNTIFS(Applications!$A:$A,"32 Ardmore Rd",Applications!$G:$G,"Legalize existing work",Applications!$I:$I,"Refused")</f>
        <v>1</v>
      </c>
      <c r="G46" s="46">
        <f>COUNTIFS(Applications!$A:$A,"32 Ardmore Rd",Applications!$G:$G,"Legalize existing work",Applications!$I:$I,"Awaiting hearing")</f>
        <v>0</v>
      </c>
      <c r="H46" s="46">
        <f>COUNTIFS(Applications!$A:$A,"32 Ardmore Rd",Applications!$G:$G,"Legalize existing work",Applications!$I:$I,"Not decided")</f>
        <v>0</v>
      </c>
      <c r="I46" s="47">
        <f>IF(E46+F46&gt;0,E46/(E46+F46),"–")</f>
        <v>0.5</v>
      </c>
      <c r="J46" s="31" t="n"/>
    </row>
    <row r="47">
      <c r="A47" s="44" t="inlineStr">
        <is>
          <t>Severance or consent</t>
        </is>
      </c>
      <c r="B47" s="31" t="n"/>
      <c r="C47" s="31" t="n"/>
      <c r="D47" s="45">
        <f>COUNTIFS(Applications!$A:$A,"32 Ardmore Rd",Applications!$G:$G,"Severance or consent")</f>
        <v>2</v>
      </c>
      <c r="E47" s="46">
        <f>COUNTIFS(Applications!$A:$A,"32 Ardmore Rd",Applications!$G:$G,"Severance or consent",Applications!$I:$I,"Approved")</f>
        <v>0</v>
      </c>
      <c r="F47" s="46">
        <f>COUNTIFS(Applications!$A:$A,"32 Ardmore Rd",Applications!$G:$G,"Severance or consent",Applications!$I:$I,"Refused")</f>
        <v>0</v>
      </c>
      <c r="G47" s="46">
        <f>COUNTIFS(Applications!$A:$A,"32 Ardmore Rd",Applications!$G:$G,"Severance or consent",Applications!$I:$I,"Awaiting hearing")</f>
        <v>0</v>
      </c>
      <c r="H47" s="46">
        <f>COUNTIFS(Applications!$A:$A,"32 Ardmore Rd",Applications!$G:$G,"Severance or consent",Applications!$I:$I,"Not decided")</f>
        <v>2</v>
      </c>
      <c r="I47" s="47" t="str">
        <f>IF(E47+F47&gt;0,E47/(E47+F47),"–")</f>
        <v>–</v>
      </c>
      <c r="J47" s="31" t="n"/>
    </row>
    <row r="48"/>
    <row r="49" ht="24.2" customHeight="1">
      <c r="A49" s="48" t="inlineStr">
        <is>
          <t>Approved new houses by storeys</t>
        </is>
      </c>
      <c r="D49" s="49" t="inlineStr">
        <is>
          <t>3 storeys</t>
        </is>
      </c>
      <c r="E49" s="50">
        <f>COUNTIFS(Applications!$A:$A,"32 Ardmore Rd",Applications!$G:$G,"New house",Applications!$I:$I,"Approved",Applications!$H:$H,3)</f>
        <v>15</v>
      </c>
      <c r="F49" s="49" t="inlineStr">
        <is>
          <t>2½ storeys</t>
        </is>
      </c>
      <c r="G49" s="50">
        <f>COUNTIFS(Applications!$A:$A,"32 Ardmore Rd",Applications!$G:$G,"New house",Applications!$I:$I,"Approved",Applications!$H:$H,2.5)</f>
        <v>2</v>
      </c>
      <c r="H49" s="49" t="inlineStr">
        <is>
          <t>2 storeys</t>
        </is>
      </c>
      <c r="I49" s="50">
        <f>COUNTIFS(Applications!$A:$A,"32 Ardmore Rd",Applications!$G:$G,"New house",Applications!$I:$I,"Approved",Applications!$H:$H,2)</f>
        <v>5</v>
      </c>
    </row>
    <row r="50"/>
    <row r="51" ht="24" customHeight="1">
      <c r="A51" s="21" t="inlineStr">
        <is>
          <t>SIGNS OF CHANGE</t>
        </is>
      </c>
      <c r="B51" s="22" t="n"/>
      <c r="C51" s="22" t="n"/>
      <c r="D51" s="22" t="n"/>
      <c r="E51" s="22" t="n"/>
      <c r="F51" s="22" t="n"/>
      <c r="G51" s="22" t="n"/>
      <c r="H51" s="22" t="n"/>
      <c r="I51" s="22" t="n"/>
      <c r="J51" s="22" t="n"/>
    </row>
    <row r="52" ht="17.2" customHeight="1">
      <c r="A52" s="25" t="inlineStr">
        <is>
          <t>Neighbours' activity that could shift what gets approved here next.</t>
        </is>
      </c>
    </row>
    <row r="53" ht="32.5" customHeight="1">
      <c r="A53" s="51" t="inlineStr">
        <is>
          <t>Awaiting hearing</t>
        </is>
      </c>
      <c r="B53" s="34" t="inlineStr">
        <is>
          <t>210 Rosemary Rd · 191 m</t>
        </is>
      </c>
      <c r="C53" s="31" t="n"/>
      <c r="D53" s="31" t="n"/>
      <c r="E53" s="52" t="inlineStr">
        <is>
          <t>New house, 3 storeys. Filed 29 Jul 2026, A0568/26TEY.</t>
        </is>
      </c>
      <c r="F53" s="31" t="n"/>
      <c r="G53" s="31" t="n"/>
      <c r="H53" s="31" t="n"/>
      <c r="I53" s="31" t="n"/>
      <c r="J53" s="33" t="inlineStr">
        <is>
          <t>Open on City site</t>
        </is>
      </c>
    </row>
    <row r="54" ht="32.5" customHeight="1">
      <c r="A54" s="51" t="inlineStr">
        <is>
          <t>Severance attempt</t>
        </is>
      </c>
      <c r="B54" s="34" t="inlineStr">
        <is>
          <t>35 Hawarden Cres · 245 m</t>
        </is>
      </c>
      <c r="C54" s="31" t="n"/>
      <c r="D54" s="31" t="n"/>
      <c r="E54" s="52" t="inlineStr">
        <is>
          <t>To obtain consent to sever an existing residential lot into six residential lots. Filed 5 Sep 2023; closed, no decision recorded.</t>
        </is>
      </c>
      <c r="F54" s="31" t="n"/>
      <c r="G54" s="31" t="n"/>
      <c r="H54" s="31" t="n"/>
      <c r="I54" s="31" t="n"/>
      <c r="J54" s="33" t="inlineStr">
        <is>
          <t>Request from CoA staff</t>
        </is>
      </c>
    </row>
    <row r="55" ht="32.5" customHeight="1">
      <c r="A55" s="51" t="inlineStr">
        <is>
          <t>Severance attempt</t>
        </is>
      </c>
      <c r="B55" s="34" t="inlineStr">
        <is>
          <t>35 Hawarden Cres · 245 m</t>
        </is>
      </c>
      <c r="C55" s="31" t="n"/>
      <c r="D55" s="31" t="n"/>
      <c r="E55" s="52" t="inlineStr">
        <is>
          <t>To obtain consent to sever the property for the purposes of a lot addition. Filed 5 Oct 2020; closed, no decision recorded.</t>
        </is>
      </c>
      <c r="F55" s="31" t="n"/>
      <c r="G55" s="31" t="n"/>
      <c r="H55" s="31" t="n"/>
      <c r="I55" s="31" t="n"/>
      <c r="J55" s="33" t="inlineStr">
        <is>
          <t>Request from CoA staff</t>
        </is>
      </c>
    </row>
    <row r="56"/>
    <row r="57">
      <c r="A57" s="53" t="inlineStr">
        <is>
          <t>Contains information licensed under the Open Government Licence – Toronto. Not a legal opinion; confirm with the City before relying on it.</t>
        </is>
      </c>
    </row>
  </sheetData>
  <mergeCells count="99">
    <mergeCell ref="G38:I38"/>
    <mergeCell ref="A46:C46"/>
    <mergeCell ref="E55:I55"/>
    <mergeCell ref="D19:H19"/>
    <mergeCell ref="A21:C21"/>
    <mergeCell ref="B53:D53"/>
    <mergeCell ref="A52:J52"/>
    <mergeCell ref="A26:C26"/>
    <mergeCell ref="B34:D34"/>
    <mergeCell ref="B37:D37"/>
    <mergeCell ref="A23:C23"/>
    <mergeCell ref="B30:D30"/>
    <mergeCell ref="H3:J3"/>
    <mergeCell ref="A43:C43"/>
    <mergeCell ref="E34:F34"/>
    <mergeCell ref="A6:J6"/>
    <mergeCell ref="E36:F36"/>
    <mergeCell ref="B54:D54"/>
    <mergeCell ref="G36:I36"/>
    <mergeCell ref="I20:J20"/>
    <mergeCell ref="A49:C49"/>
    <mergeCell ref="D23:H23"/>
    <mergeCell ref="I13:J13"/>
    <mergeCell ref="E12:F12"/>
    <mergeCell ref="A5:J5"/>
    <mergeCell ref="G12:H12"/>
    <mergeCell ref="B3:C3"/>
    <mergeCell ref="G37:I37"/>
    <mergeCell ref="A11:B11"/>
    <mergeCell ref="A29:J29"/>
    <mergeCell ref="G30:I30"/>
    <mergeCell ref="E38:F38"/>
    <mergeCell ref="A40:J40"/>
    <mergeCell ref="A15:J15"/>
    <mergeCell ref="D17:H17"/>
    <mergeCell ref="G32:I32"/>
    <mergeCell ref="B36:D36"/>
    <mergeCell ref="A44:C44"/>
    <mergeCell ref="J30"/>
    <mergeCell ref="A7:J7"/>
    <mergeCell ref="A16:J16"/>
    <mergeCell ref="I17:J17"/>
    <mergeCell ref="A24:C24"/>
    <mergeCell ref="D25:H25"/>
    <mergeCell ref="B31:D31"/>
    <mergeCell ref="E54:I54"/>
    <mergeCell ref="A2:J2"/>
    <mergeCell ref="A25:C25"/>
    <mergeCell ref="G11:H11"/>
    <mergeCell ref="I11:J11"/>
    <mergeCell ref="A18:C18"/>
    <mergeCell ref="G34:I34"/>
    <mergeCell ref="A28:J28"/>
    <mergeCell ref="A42:C42"/>
    <mergeCell ref="D21:H21"/>
    <mergeCell ref="A47:C47"/>
    <mergeCell ref="A30"/>
    <mergeCell ref="A22:C22"/>
    <mergeCell ref="E13:F13"/>
    <mergeCell ref="G13:H13"/>
    <mergeCell ref="A20:C20"/>
    <mergeCell ref="E31:F31"/>
    <mergeCell ref="A12:B12"/>
    <mergeCell ref="A51:J51"/>
    <mergeCell ref="C12:D12"/>
    <mergeCell ref="G31:I31"/>
    <mergeCell ref="B35:D35"/>
    <mergeCell ref="D18:H18"/>
    <mergeCell ref="A41:J41"/>
    <mergeCell ref="E32:F32"/>
    <mergeCell ref="D20:H20"/>
    <mergeCell ref="A8:J8"/>
    <mergeCell ref="E33:F33"/>
    <mergeCell ref="A1:H1"/>
    <mergeCell ref="D22:H22"/>
    <mergeCell ref="A10:J10"/>
    <mergeCell ref="B38:D38"/>
    <mergeCell ref="G33:I33"/>
    <mergeCell ref="F3:G3"/>
    <mergeCell ref="E35:F35"/>
    <mergeCell ref="A17:C17"/>
    <mergeCell ref="G35:I35"/>
    <mergeCell ref="B55:D55"/>
    <mergeCell ref="B33:D33"/>
    <mergeCell ref="I12:J12"/>
    <mergeCell ref="A19:C19"/>
    <mergeCell ref="E30:F30"/>
    <mergeCell ref="C11:D11"/>
    <mergeCell ref="B32:D32"/>
    <mergeCell ref="E11:F11"/>
    <mergeCell ref="I1:J1"/>
    <mergeCell ref="A45:C45"/>
    <mergeCell ref="D24:H24"/>
    <mergeCell ref="A13:B13"/>
    <mergeCell ref="E37:F37"/>
    <mergeCell ref="C13:D13"/>
    <mergeCell ref="A57:J57"/>
    <mergeCell ref="E53:I53"/>
    <mergeCell ref="D26:H26"/>
  </mergeCells>
  <hyperlinks>
    <hyperlink ref="A3" location="'Summary'!A1" display="← Summary"/>
    <hyperlink xmlns:r="http://schemas.openxmlformats.org/officeDocument/2006/relationships" ref="B3" r:id="rId1"/>
    <hyperlink xmlns:r="http://schemas.openxmlformats.org/officeDocument/2006/relationships" ref="D3" r:id="rId2"/>
    <hyperlink xmlns:r="http://schemas.openxmlformats.org/officeDocument/2006/relationships" ref="E3" r:id="rId3"/>
    <hyperlink xmlns:r="http://schemas.openxmlformats.org/officeDocument/2006/relationships" ref="F3" r:id="rId4"/>
    <hyperlink ref="H3" location="'Applications'!A4" display="All 45 applications →"/>
    <hyperlink xmlns:r="http://schemas.openxmlformats.org/officeDocument/2006/relationships" ref="I17" r:id="rId5"/>
    <hyperlink xmlns:r="http://schemas.openxmlformats.org/officeDocument/2006/relationships" ref="I20" r:id="rId6"/>
    <hyperlink xmlns:r="http://schemas.openxmlformats.org/officeDocument/2006/relationships" ref="J31" r:id="rId7"/>
    <hyperlink xmlns:r="http://schemas.openxmlformats.org/officeDocument/2006/relationships" ref="J32" r:id="rId8"/>
    <hyperlink xmlns:r="http://schemas.openxmlformats.org/officeDocument/2006/relationships" ref="J33" r:id="rId9"/>
    <hyperlink xmlns:r="http://schemas.openxmlformats.org/officeDocument/2006/relationships" ref="J34" r:id="rId10"/>
    <hyperlink xmlns:r="http://schemas.openxmlformats.org/officeDocument/2006/relationships" ref="J35" r:id="rId11"/>
    <hyperlink xmlns:r="http://schemas.openxmlformats.org/officeDocument/2006/relationships" ref="J36" r:id="rId12"/>
    <hyperlink xmlns:r="http://schemas.openxmlformats.org/officeDocument/2006/relationships" ref="J37" r:id="rId13"/>
    <hyperlink xmlns:r="http://schemas.openxmlformats.org/officeDocument/2006/relationships" ref="J38" r:id="rId14"/>
    <hyperlink xmlns:r="http://schemas.openxmlformats.org/officeDocument/2006/relationships" ref="J53" r:id="rId15"/>
    <hyperlink xmlns:r="http://schemas.openxmlformats.org/officeDocument/2006/relationships" ref="J54" r:id="rId16"/>
    <hyperlink xmlns:r="http://schemas.openxmlformats.org/officeDocument/2006/relationships" ref="J55" r:id="rId17"/>
  </hyperlinks>
  <pageMargins left="0.4" right="0.4" top="0.5" bottom="0.5" header="0.5" footer="0.5"/>
  <pageSetup orientation="landscape" paperSize="1" fitToHeight="0" fitToWidth="1"/>
  <headerFooter>
    <oddHeader>&amp;R&amp;8 &amp;K8A7E72Parcis · Evaluation copy</oddHeader>
    <oddFooter>&amp;L&amp;8 Parcis · © 2026 Joshua Seaton. All rights reserved. Evaluation copy.&amp;C&amp;8 &amp;A&amp;R&amp;8 Page &amp;P of &amp;N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tabColor rgb="00F0D77A"/>
    <outlinePr summaryBelow="1" summaryRight="1"/>
    <pageSetUpPr fitToPage="1"/>
  </sheetPr>
  <dimension ref="A1:J61"/>
  <sheetViews>
    <sheetView showGridLines="0" workbookViewId="0">
      <selection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4" customWidth="1" min="10" max="10"/>
  </cols>
  <sheetData>
    <row r="1" ht="38" customHeight="1">
      <c r="A1" s="18" t="inlineStr">
        <is>
          <t>65 Bristol Ave</t>
        </is>
      </c>
      <c r="I1" s="19" t="inlineStr">
        <is>
          <t>R</t>
        </is>
      </c>
    </row>
    <row r="2" ht="36.6" customHeight="1">
      <c r="A2" s="2" t="inlineStr">
        <is>
          <t>Davenport  ·  Postal area M6H  ·  250 m radius  ·  Run 30 Sep 2026  ·  Parcis · © 2026 Joshua Seaton. All rights reserved. Evaluation copy.</t>
        </is>
      </c>
    </row>
    <row r="3" ht="22" customHeight="1">
      <c r="A3" s="20" t="inlineStr">
        <is>
          <t>← Summary</t>
        </is>
      </c>
      <c r="B3" s="20" t="inlineStr">
        <is>
          <t>Interactive report</t>
        </is>
      </c>
      <c r="D3" s="20" t="inlineStr">
        <is>
          <t>Google Maps</t>
        </is>
      </c>
      <c r="E3" s="20" t="inlineStr">
        <is>
          <t>Street View</t>
        </is>
      </c>
      <c r="F3" s="20" t="inlineStr">
        <is>
          <t>City zoning map</t>
        </is>
      </c>
      <c r="H3" s="20" t="inlineStr">
        <is>
          <t>All 25 applications →</t>
        </is>
      </c>
    </row>
    <row r="4"/>
    <row r="5" ht="24" customHeight="1">
      <c r="A5" s="21" t="inlineStr">
        <is>
          <t>BOTTOM LINE</t>
        </is>
      </c>
      <c r="B5" s="22" t="n"/>
      <c r="C5" s="22" t="n"/>
      <c r="D5" s="22" t="n"/>
      <c r="E5" s="22" t="n"/>
      <c r="F5" s="22" t="n"/>
      <c r="G5" s="22" t="n"/>
      <c r="H5" s="22" t="n"/>
      <c r="I5" s="22" t="n"/>
      <c r="J5" s="22" t="n"/>
    </row>
    <row r="6" ht="28.6" customHeight="1">
      <c r="A6" s="23" t="inlineStr">
        <is>
          <t>Strong precedent: 20 of 21 decided applications within 250 m were approved (95%).</t>
        </is>
      </c>
    </row>
    <row r="7" ht="169.88" customHeight="1">
      <c r="A7" s="24" t="inlineStr">
        <is>
          <t>The lot's own history shows initial resistance to a variance request in February 2022, but a revised application was approved 124 days after filing in November 2022, suggesting that design modifications can overcome initial concerns. Neighbour precedent is strongly favourable: within 250 m, 20 of 21 decided applications were approved, including 2 three-storey new houses, which signals receptiveness to residential intensification in this area. The median time from filing to hearing across 8 decided files in the last three years is 11 weeks, providing a benchmark for timeline expectations. The current new-house permit 23 133661 is now with a revision issued, which aligns with the pattern seen in this lot's own approval history where revisions led to success. The developer should note that while the by-right envelope is 13 m height with no lot coverage overlay and there is no secondary plan or site and area specific policy governing this address, the strong approval precedent (95% approval rate among neighbours) suggests that applications meeting or respecting neighbourhood character are likely to advance.</t>
        </is>
      </c>
    </row>
    <row r="8">
      <c r="A8" s="25" t="inlineStr">
        <is>
          <t>Written by Claude (zoning-narrative-claude-haiku-4-5) from the computed facts; every number in it was checked against them before use.</t>
        </is>
      </c>
    </row>
    <row r="9"/>
    <row r="10" ht="24" customHeight="1">
      <c r="A10" s="21" t="inlineStr">
        <is>
          <t>KEY NUMBERS</t>
        </is>
      </c>
      <c r="B10" s="22" t="n"/>
      <c r="C10" s="22" t="n"/>
      <c r="D10" s="22" t="n"/>
      <c r="E10" s="22" t="n"/>
      <c r="F10" s="22" t="n"/>
      <c r="G10" s="22" t="n"/>
      <c r="H10" s="22" t="n"/>
      <c r="I10" s="22" t="n"/>
      <c r="J10" s="22" t="n"/>
    </row>
    <row r="11" ht="17.6" customHeight="1">
      <c r="A11" s="26" t="inlineStr">
        <is>
          <t>Applications within 250 m</t>
        </is>
      </c>
      <c r="C11" s="26" t="inlineStr">
        <is>
          <t>Approval rate</t>
        </is>
      </c>
      <c r="E11" s="26" t="inlineStr">
        <is>
          <t>Weeks to hearing</t>
        </is>
      </c>
      <c r="G11" s="26" t="inlineStr">
        <is>
          <t>New houses approved</t>
        </is>
      </c>
      <c r="I11" s="26" t="inlineStr">
        <is>
          <t>Awaiting hearing</t>
        </is>
      </c>
    </row>
    <row r="12" ht="30" customHeight="1">
      <c r="A12" s="27">
        <f>COUNTIFS(Applications!$A:$A,"65 Bristol Ave")</f>
        <v>25</v>
      </c>
      <c r="C12" s="28">
        <f>IFERROR(COUNTIFS(Applications!$A:$A,"65 Bristol Ave",Applications!$I:$I,"Approved")/(COUNTIFS(Applications!$A:$A,"65 Bristol Ave",Applications!$I:$I,"Approved")+COUNTIFS(Applications!$A:$A,"65 Bristol Ave",Applications!$I:$I,"Refused")),"–")</f>
        <v>0.9523809523809523</v>
      </c>
      <c r="E12" s="29" t="n">
        <v>11</v>
      </c>
      <c r="G12" s="29">
        <f>COUNTIFS(Applications!$A:$A,"65 Bristol Ave",Applications!$G:$G,"New house",Applications!$I:$I,"Approved")</f>
        <v>6</v>
      </c>
      <c r="I12" s="29">
        <f>COUNTIFS(Applications!$A:$A,"65 Bristol Ave",Applications!$I:$I,"Awaiting hearing")</f>
        <v>0</v>
      </c>
    </row>
    <row r="13" ht="30.8" customHeight="1">
      <c r="A13" s="17" t="inlineStr">
        <is>
          <t>Committee of Adjustment files</t>
        </is>
      </c>
      <c r="C13" s="17" t="inlineStr">
        <is>
          <t>20 of 21 decided</t>
        </is>
      </c>
      <c r="E13" s="17" t="inlineStr">
        <is>
          <t>median, last 3 yrs (8 files)</t>
        </is>
      </c>
      <c r="G13" s="17" t="inlineStr">
        <is>
          <t>2 of them three storeys</t>
        </is>
      </c>
      <c r="I13" s="17" t="inlineStr">
        <is>
          <t>filed, not yet heard</t>
        </is>
      </c>
    </row>
    <row r="14"/>
    <row r="15" ht="24" customHeight="1">
      <c r="A15" s="21" t="inlineStr">
        <is>
          <t>WHAT YOU CAN BUILD AS-OF-RIGHT</t>
        </is>
      </c>
      <c r="B15" s="22" t="n"/>
      <c r="C15" s="22" t="n"/>
      <c r="D15" s="22" t="n"/>
      <c r="E15" s="22" t="n"/>
      <c r="F15" s="22" t="n"/>
      <c r="G15" s="22" t="n"/>
      <c r="H15" s="22" t="n"/>
      <c r="I15" s="22" t="n"/>
      <c r="J15" s="22" t="n"/>
    </row>
    <row r="16" ht="30.4" customHeight="1">
      <c r="A16" s="25" t="inlineStr">
        <is>
          <t>Zone string decoded, plus the overlays and plans on top of it. The decoder reads the label only; read the by-law and any exception before design.</t>
        </is>
      </c>
    </row>
    <row r="17" ht="34.7" customHeight="1">
      <c r="A17" s="30" t="inlineStr">
        <is>
          <t>Zone</t>
        </is>
      </c>
      <c r="B17" s="31" t="n"/>
      <c r="C17" s="31" t="n"/>
      <c r="D17" s="32" t="inlineStr">
        <is>
          <t>R (d0.6) (x739)
Residential zone</t>
        </is>
      </c>
      <c r="E17" s="31" t="n"/>
      <c r="F17" s="31" t="n"/>
      <c r="G17" s="31" t="n"/>
      <c r="H17" s="31" t="n"/>
      <c r="I17" s="33" t="inlineStr">
        <is>
          <t>By-law chapter</t>
        </is>
      </c>
      <c r="J17" s="31" t="n"/>
    </row>
    <row r="18" ht="34.7" customHeight="1">
      <c r="A18" s="30" t="inlineStr">
        <is>
          <t xml:space="preserve">   d0.6</t>
        </is>
      </c>
      <c r="B18" s="31" t="n"/>
      <c r="C18" s="31" t="n"/>
      <c r="D18" s="34" t="inlineStr">
        <is>
          <t>Maximum floor space index 0.6
Gross floor area up to 0.6 × lot area.</t>
        </is>
      </c>
      <c r="E18" s="31" t="n"/>
      <c r="F18" s="31" t="n"/>
      <c r="G18" s="31" t="n"/>
      <c r="H18" s="31" t="n"/>
      <c r="I18" s="31" t="n"/>
      <c r="J18" s="31" t="n"/>
    </row>
    <row r="19" ht="34.7" customHeight="1">
      <c r="A19" s="30" t="inlineStr">
        <is>
          <t xml:space="preserve">   x739</t>
        </is>
      </c>
      <c r="B19" s="31" t="n"/>
      <c r="C19" s="31" t="n"/>
      <c r="D19" s="34" t="inlineStr">
        <is>
          <t>Site-specific exception 739
Can change the standard rules; read it before design.</t>
        </is>
      </c>
      <c r="E19" s="31" t="n"/>
      <c r="F19" s="31" t="n"/>
      <c r="G19" s="31" t="n"/>
      <c r="H19" s="31" t="n"/>
      <c r="I19" s="33" t="inlineStr">
        <is>
          <t>Exception text</t>
        </is>
      </c>
      <c r="J19" s="31" t="n"/>
    </row>
    <row r="20" ht="34.7" customHeight="1">
      <c r="A20" s="30" t="inlineStr">
        <is>
          <t>Maximum height</t>
        </is>
      </c>
      <c r="B20" s="31" t="n"/>
      <c r="C20" s="31" t="n"/>
      <c r="D20" s="34" t="inlineStr">
        <is>
          <t>13 m
Height overlay HT 13.0</t>
        </is>
      </c>
      <c r="E20" s="31" t="n"/>
      <c r="F20" s="31" t="n"/>
      <c r="G20" s="31" t="n"/>
      <c r="H20" s="31" t="n"/>
      <c r="I20" s="31" t="n"/>
      <c r="J20" s="31" t="n"/>
    </row>
    <row r="21" ht="34.7" customHeight="1">
      <c r="A21" s="30" t="inlineStr">
        <is>
          <t>Lot coverage overlay</t>
        </is>
      </c>
      <c r="B21" s="31" t="n"/>
      <c r="C21" s="31" t="n"/>
      <c r="D21" s="34" t="inlineStr">
        <is>
          <t>No lot coverage overlay at this lot
Nearest coverage area is about 3.6 km away.</t>
        </is>
      </c>
      <c r="E21" s="31" t="n"/>
      <c r="F21" s="31" t="n"/>
      <c r="G21" s="31" t="n"/>
      <c r="H21" s="31" t="n"/>
      <c r="I21" s="31" t="n"/>
      <c r="J21" s="31" t="n"/>
    </row>
    <row r="22" ht="19.85" customHeight="1">
      <c r="A22" s="30" t="inlineStr">
        <is>
          <t>Building setback overlay</t>
        </is>
      </c>
      <c r="B22" s="31" t="n"/>
      <c r="C22" s="31" t="n"/>
      <c r="D22" s="34" t="inlineStr">
        <is>
          <t>None at this lot</t>
        </is>
      </c>
      <c r="E22" s="31" t="n"/>
      <c r="F22" s="31" t="n"/>
      <c r="G22" s="31" t="n"/>
      <c r="H22" s="31" t="n"/>
      <c r="I22" s="31" t="n"/>
      <c r="J22" s="31" t="n"/>
    </row>
    <row r="23" ht="19.85" customHeight="1">
      <c r="A23" s="30" t="inlineStr">
        <is>
          <t>Secondary plan</t>
        </is>
      </c>
      <c r="B23" s="31" t="n"/>
      <c r="C23" s="31" t="n"/>
      <c r="D23" s="34" t="inlineStr">
        <is>
          <t>None</t>
        </is>
      </c>
      <c r="E23" s="31" t="n"/>
      <c r="F23" s="31" t="n"/>
      <c r="G23" s="31" t="n"/>
      <c r="H23" s="31" t="n"/>
      <c r="I23" s="31" t="n"/>
      <c r="J23" s="31" t="n"/>
    </row>
    <row r="24" ht="19.85" customHeight="1">
      <c r="A24" s="30" t="inlineStr">
        <is>
          <t>Site and area specific policy</t>
        </is>
      </c>
      <c r="B24" s="31" t="n"/>
      <c r="C24" s="31" t="n"/>
      <c r="D24" s="34" t="inlineStr">
        <is>
          <t>None</t>
        </is>
      </c>
      <c r="E24" s="31" t="n"/>
      <c r="F24" s="31" t="n"/>
      <c r="G24" s="31" t="n"/>
      <c r="H24" s="31" t="n"/>
      <c r="I24" s="31" t="n"/>
      <c r="J24" s="31" t="n"/>
    </row>
    <row r="25" ht="34.7" customHeight="1">
      <c r="A25" s="30" t="inlineStr">
        <is>
          <t>Zone source</t>
        </is>
      </c>
      <c r="B25" s="31" t="n"/>
      <c r="C25" s="31" t="n"/>
      <c r="D25" s="34" t="inlineStr">
        <is>
          <t>City zoning map
Variance file lists R(d0.6) (x739)</t>
        </is>
      </c>
      <c r="E25" s="31" t="n"/>
      <c r="F25" s="31" t="n"/>
      <c r="G25" s="31" t="n"/>
      <c r="H25" s="31" t="n"/>
      <c r="I25" s="31" t="n"/>
      <c r="J25" s="31" t="n"/>
    </row>
    <row r="26"/>
    <row r="27" ht="24" customHeight="1">
      <c r="A27" s="21" t="inlineStr">
        <is>
          <t>THIS LOT'S HISTORY</t>
        </is>
      </c>
      <c r="B27" s="22" t="n"/>
      <c r="C27" s="22" t="n"/>
      <c r="D27" s="22" t="n"/>
      <c r="E27" s="22" t="n"/>
      <c r="F27" s="22" t="n"/>
      <c r="G27" s="22" t="n"/>
      <c r="H27" s="22" t="n"/>
      <c r="I27" s="22" t="n"/>
      <c r="J27" s="22" t="n"/>
    </row>
    <row r="28" ht="30.4" customHeight="1">
      <c r="A28" s="25" t="inlineStr">
        <is>
          <t>Minor variance A1344/21TEY was refused 23 Feb 2022; a revised application, A0927/22TEY, was approved 9 Nov 2022, 124 days after filing; new-house permit 23 133661 issued 29 Jun 2026, now with a revision issued.</t>
        </is>
      </c>
    </row>
    <row r="29" ht="19.8" customHeight="1">
      <c r="A29" s="35" t="inlineStr">
        <is>
          <t>Date</t>
        </is>
      </c>
      <c r="B29" s="36" t="inlineStr">
        <is>
          <t>What happened</t>
        </is>
      </c>
      <c r="E29" s="36" t="inlineStr">
        <is>
          <t>File or permit</t>
        </is>
      </c>
      <c r="G29" s="36" t="inlineStr">
        <is>
          <t>Detail</t>
        </is>
      </c>
      <c r="J29" s="37" t="inlineStr">
        <is>
          <t>Source</t>
        </is>
      </c>
    </row>
    <row r="30" ht="101.25" customHeight="1">
      <c r="A30" s="38" t="n">
        <v>44495</v>
      </c>
      <c r="B30" s="39" t="inlineStr">
        <is>
          <t>Minor variance filed</t>
        </is>
      </c>
      <c r="C30" s="31" t="n"/>
      <c r="D30" s="31" t="n"/>
      <c r="E30" s="40" t="inlineStr">
        <is>
          <t>A1344/21TEY</t>
        </is>
      </c>
      <c r="F30" s="31" t="n"/>
      <c r="G30" s="41" t="inlineStr">
        <is>
          <t>To alter the existing one-storey detached dwelling by constructing a two-and-one-half-storey addition above the existing dwelling. Also, the partial fourth storey will be a loft with a rear fourth storey terrace. Furthermore, three secondary suites will be added.</t>
        </is>
      </c>
      <c r="H30" s="31" t="n"/>
      <c r="I30" s="31" t="n"/>
      <c r="J30" s="33" t="inlineStr">
        <is>
          <t>Request from CoA staff</t>
        </is>
      </c>
    </row>
    <row r="31" ht="32.5" customHeight="1">
      <c r="A31" s="38" t="n">
        <v>44615</v>
      </c>
      <c r="B31" s="54" t="inlineStr">
        <is>
          <t>Variance refused by the Committee of Adjustment</t>
        </is>
      </c>
      <c r="C31" s="31" t="n"/>
      <c r="D31" s="31" t="n"/>
      <c r="E31" s="40" t="inlineStr">
        <is>
          <t>A1344/21TEY</t>
        </is>
      </c>
      <c r="F31" s="31" t="n"/>
      <c r="G31" s="41" t="inlineStr">
        <is>
          <t>120 days after filing.</t>
        </is>
      </c>
      <c r="H31" s="31" t="n"/>
      <c r="I31" s="31" t="n"/>
      <c r="J31" s="33" t="inlineStr">
        <is>
          <t>Request from CoA staff</t>
        </is>
      </c>
    </row>
    <row r="32" ht="115" customHeight="1">
      <c r="A32" s="38" t="n">
        <v>44750</v>
      </c>
      <c r="B32" s="39" t="inlineStr">
        <is>
          <t>Minor variance filed</t>
        </is>
      </c>
      <c r="C32" s="31" t="n"/>
      <c r="D32" s="31" t="n"/>
      <c r="E32" s="40" t="inlineStr">
        <is>
          <t>A0927/22TEY</t>
        </is>
      </c>
      <c r="F32" s="31" t="n"/>
      <c r="G32" s="41" t="inlineStr">
        <is>
          <t>To alter the existing one-storey detached dwelling by constructing  complete second and third storey additions, a new front porch and basement walkout, and rear second and third storeys balconies. The altered dwelling will have one primary unit and three secondary suites (four-plex).</t>
        </is>
      </c>
      <c r="H32" s="31" t="n"/>
      <c r="I32" s="31" t="n"/>
      <c r="J32" s="33" t="inlineStr">
        <is>
          <t>Request from CoA staff</t>
        </is>
      </c>
    </row>
    <row r="33" ht="32.5" customHeight="1">
      <c r="A33" s="38" t="n">
        <v>44874</v>
      </c>
      <c r="B33" s="39" t="inlineStr">
        <is>
          <t>Variance approved by the Committee of Adjustment</t>
        </is>
      </c>
      <c r="C33" s="31" t="n"/>
      <c r="D33" s="31" t="n"/>
      <c r="E33" s="40" t="inlineStr">
        <is>
          <t>A0927/22TEY</t>
        </is>
      </c>
      <c r="F33" s="31" t="n"/>
      <c r="G33" s="41" t="inlineStr">
        <is>
          <t>124 days after filing.</t>
        </is>
      </c>
      <c r="H33" s="31" t="n"/>
      <c r="I33" s="31" t="n"/>
      <c r="J33" s="33" t="inlineStr">
        <is>
          <t>Request from CoA staff</t>
        </is>
      </c>
    </row>
    <row r="34" ht="32.5" customHeight="1">
      <c r="A34" s="38" t="n">
        <v>45029</v>
      </c>
      <c r="B34" s="39" t="inlineStr">
        <is>
          <t>Demolition permit applied for</t>
        </is>
      </c>
      <c r="C34" s="31" t="n"/>
      <c r="D34" s="31" t="n"/>
      <c r="E34" s="40" t="inlineStr">
        <is>
          <t>23 133607</t>
        </is>
      </c>
      <c r="F34" s="31" t="n"/>
      <c r="G34" s="41" t="inlineStr">
        <is>
          <t>Proposal to demolish the existing 1 storey SFD-detached dwelling.</t>
        </is>
      </c>
      <c r="H34" s="31" t="n"/>
      <c r="I34" s="31" t="n"/>
      <c r="J34" s="33" t="inlineStr">
        <is>
          <t>Building records request</t>
        </is>
      </c>
    </row>
    <row r="35" ht="19.8" customHeight="1">
      <c r="A35" s="38" t="n">
        <v>45345</v>
      </c>
      <c r="B35" s="39" t="inlineStr">
        <is>
          <t>Demolition permit issued</t>
        </is>
      </c>
      <c r="C35" s="31" t="n"/>
      <c r="D35" s="31" t="n"/>
      <c r="E35" s="40" t="inlineStr">
        <is>
          <t>23 133607</t>
        </is>
      </c>
      <c r="F35" s="31" t="n"/>
      <c r="G35" s="41" t="inlineStr"/>
      <c r="H35" s="31" t="n"/>
      <c r="I35" s="31" t="n"/>
      <c r="J35" s="33" t="inlineStr">
        <is>
          <t>Building records request</t>
        </is>
      </c>
    </row>
    <row r="36" ht="32.5" customHeight="1">
      <c r="A36" s="38" t="n">
        <v>45521</v>
      </c>
      <c r="B36" s="39" t="inlineStr">
        <is>
          <t>Building permit applied for</t>
        </is>
      </c>
      <c r="C36" s="31" t="n"/>
      <c r="D36" s="31" t="n"/>
      <c r="E36" s="40" t="inlineStr">
        <is>
          <t>24 199858</t>
        </is>
      </c>
      <c r="F36" s="31" t="n"/>
      <c r="G36" s="41" t="inlineStr">
        <is>
          <t>Proposal for demolish existing shed and build new garden suite</t>
        </is>
      </c>
      <c r="H36" s="31" t="n"/>
      <c r="I36" s="31" t="n"/>
      <c r="J36" s="33" t="inlineStr">
        <is>
          <t>Building records request</t>
        </is>
      </c>
    </row>
    <row r="37" ht="19.8" customHeight="1">
      <c r="A37" s="38" t="n">
        <v>45569</v>
      </c>
      <c r="B37" s="39" t="inlineStr">
        <is>
          <t>Building permit issued</t>
        </is>
      </c>
      <c r="C37" s="31" t="n"/>
      <c r="D37" s="31" t="n"/>
      <c r="E37" s="40" t="inlineStr">
        <is>
          <t>24 199858</t>
        </is>
      </c>
      <c r="F37" s="31" t="n"/>
      <c r="G37" s="41" t="inlineStr">
        <is>
          <t>Estimated cost $400,000.</t>
        </is>
      </c>
      <c r="H37" s="31" t="n"/>
      <c r="I37" s="31" t="n"/>
      <c r="J37" s="33" t="inlineStr">
        <is>
          <t>Building records request</t>
        </is>
      </c>
    </row>
    <row r="38" ht="19.8" customHeight="1">
      <c r="A38" s="38" t="n">
        <v>46114</v>
      </c>
      <c r="B38" s="39" t="inlineStr">
        <is>
          <t>Demolition permit closed</t>
        </is>
      </c>
      <c r="C38" s="31" t="n"/>
      <c r="D38" s="31" t="n"/>
      <c r="E38" s="40" t="inlineStr">
        <is>
          <t>23 133607</t>
        </is>
      </c>
      <c r="F38" s="31" t="n"/>
      <c r="G38" s="41" t="inlineStr"/>
      <c r="H38" s="31" t="n"/>
      <c r="I38" s="31" t="n"/>
      <c r="J38" s="33" t="inlineStr">
        <is>
          <t>Building records request</t>
        </is>
      </c>
    </row>
    <row r="39" ht="87.5" customHeight="1">
      <c r="A39" s="38" t="n">
        <v>46196</v>
      </c>
      <c r="B39" s="39" t="inlineStr">
        <is>
          <t>New-building permit applied for</t>
        </is>
      </c>
      <c r="C39" s="31" t="n"/>
      <c r="D39" s="31" t="n"/>
      <c r="E39" s="40" t="inlineStr">
        <is>
          <t>23 133661</t>
        </is>
      </c>
      <c r="F39" s="31" t="n"/>
      <c r="G39" s="41" t="inlineStr">
        <is>
          <t>Revision 02: basement layout changesREV: Proposal for structural revisionProposal to construct a new 3 storey detached dwelling with 4 units.See also 23 133607 DEM, 21 171077 ZZC, 22 174028 MV and Final and Binding A0927/22TEY.</t>
        </is>
      </c>
      <c r="H39" s="31" t="n"/>
      <c r="I39" s="31" t="n"/>
      <c r="J39" s="33" t="inlineStr">
        <is>
          <t>Check permit status</t>
        </is>
      </c>
    </row>
    <row r="40" ht="32.5" customHeight="1">
      <c r="A40" s="38" t="n">
        <v>46202</v>
      </c>
      <c r="B40" s="39" t="inlineStr">
        <is>
          <t>New-building permit issued</t>
        </is>
      </c>
      <c r="C40" s="31" t="n"/>
      <c r="D40" s="31" t="n"/>
      <c r="E40" s="40" t="inlineStr">
        <is>
          <t>23 133661</t>
        </is>
      </c>
      <c r="F40" s="31" t="n"/>
      <c r="G40" s="41" t="inlineStr">
        <is>
          <t>Estimated cost $1,000,000. Cites variance A0927/22TEY.</t>
        </is>
      </c>
      <c r="H40" s="31" t="n"/>
      <c r="I40" s="31" t="n"/>
      <c r="J40" s="33" t="inlineStr">
        <is>
          <t>Check permit status</t>
        </is>
      </c>
    </row>
    <row r="41" ht="19.8" customHeight="1">
      <c r="A41" s="38" t="n">
        <v>46225</v>
      </c>
      <c r="B41" s="39" t="inlineStr">
        <is>
          <t>Building permit closed</t>
        </is>
      </c>
      <c r="C41" s="31" t="n"/>
      <c r="D41" s="31" t="n"/>
      <c r="E41" s="40" t="inlineStr">
        <is>
          <t>24 199858</t>
        </is>
      </c>
      <c r="F41" s="31" t="n"/>
      <c r="G41" s="41" t="inlineStr"/>
      <c r="H41" s="31" t="n"/>
      <c r="I41" s="31" t="n"/>
      <c r="J41" s="33" t="inlineStr">
        <is>
          <t>Building records request</t>
        </is>
      </c>
    </row>
    <row r="42" ht="32.5" customHeight="1">
      <c r="A42" s="38" t="n">
        <v>46295</v>
      </c>
      <c r="B42" s="42" t="inlineStr">
        <is>
          <t>Status at this run</t>
        </is>
      </c>
      <c r="C42" s="31" t="n"/>
      <c r="D42" s="31" t="n"/>
      <c r="E42" s="40" t="inlineStr">
        <is>
          <t>23 133661</t>
        </is>
      </c>
      <c r="F42" s="31" t="n"/>
      <c r="G42" s="41" t="inlineStr">
        <is>
          <t>Permit 23 133661: with a revision issued.</t>
        </is>
      </c>
      <c r="H42" s="31" t="n"/>
      <c r="I42" s="31" t="n"/>
      <c r="J42" s="33" t="inlineStr">
        <is>
          <t>Check permit status</t>
        </is>
      </c>
    </row>
    <row r="43"/>
    <row r="44" ht="24" customHeight="1">
      <c r="A44" s="21" t="inlineStr">
        <is>
          <t>WHAT THE NEIGHBOURS GOT APPROVED WITHIN 250 M</t>
        </is>
      </c>
      <c r="B44" s="22" t="n"/>
      <c r="C44" s="22" t="n"/>
      <c r="D44" s="22" t="n"/>
      <c r="E44" s="22" t="n"/>
      <c r="F44" s="22" t="n"/>
      <c r="G44" s="22" t="n"/>
      <c r="H44" s="22" t="n"/>
      <c r="I44" s="22" t="n"/>
      <c r="J44" s="22" t="n"/>
    </row>
    <row r="45" ht="17.2" customHeight="1">
      <c r="A45" s="25" t="inlineStr">
        <is>
          <t>Counts are live formulas over the Applications sheet. Approval rate counts approved and refused decisions only.</t>
        </is>
      </c>
    </row>
    <row r="46" ht="30.8" customHeight="1">
      <c r="A46" s="35" t="inlineStr">
        <is>
          <t>Project type</t>
        </is>
      </c>
      <c r="D46" s="6" t="inlineStr">
        <is>
          <t>Applications</t>
        </is>
      </c>
      <c r="E46" s="6" t="inlineStr">
        <is>
          <t>Approved</t>
        </is>
      </c>
      <c r="F46" s="6" t="inlineStr">
        <is>
          <t>Refused</t>
        </is>
      </c>
      <c r="G46" s="6" t="inlineStr">
        <is>
          <t>Awaiting hearing</t>
        </is>
      </c>
      <c r="H46" s="6" t="inlineStr">
        <is>
          <t>Not decided</t>
        </is>
      </c>
      <c r="I46" s="6" t="inlineStr">
        <is>
          <t>Approval rate</t>
        </is>
      </c>
      <c r="J46" s="43" t="n"/>
    </row>
    <row r="47">
      <c r="A47" s="44" t="inlineStr">
        <is>
          <t>New house</t>
        </is>
      </c>
      <c r="B47" s="31" t="n"/>
      <c r="C47" s="31" t="n"/>
      <c r="D47" s="45">
        <f>COUNTIFS(Applications!$A:$A,"65 Bristol Ave",Applications!$G:$G,"New house")</f>
        <v>6</v>
      </c>
      <c r="E47" s="46">
        <f>COUNTIFS(Applications!$A:$A,"65 Bristol Ave",Applications!$G:$G,"New house",Applications!$I:$I,"Approved")</f>
        <v>6</v>
      </c>
      <c r="F47" s="46">
        <f>COUNTIFS(Applications!$A:$A,"65 Bristol Ave",Applications!$G:$G,"New house",Applications!$I:$I,"Refused")</f>
        <v>0</v>
      </c>
      <c r="G47" s="46">
        <f>COUNTIFS(Applications!$A:$A,"65 Bristol Ave",Applications!$G:$G,"New house",Applications!$I:$I,"Awaiting hearing")</f>
        <v>0</v>
      </c>
      <c r="H47" s="46">
        <f>COUNTIFS(Applications!$A:$A,"65 Bristol Ave",Applications!$G:$G,"New house",Applications!$I:$I,"Not decided")</f>
        <v>0</v>
      </c>
      <c r="I47" s="47">
        <f>IF(E47+F47&gt;0,E47/(E47+F47),"–")</f>
        <v>1.0</v>
      </c>
      <c r="J47" s="31" t="n"/>
    </row>
    <row r="48">
      <c r="A48" s="44" t="inlineStr">
        <is>
          <t>Addition or alteration</t>
        </is>
      </c>
      <c r="B48" s="31" t="n"/>
      <c r="C48" s="31" t="n"/>
      <c r="D48" s="45">
        <f>COUNTIFS(Applications!$A:$A,"65 Bristol Ave",Applications!$G:$G,"Addition or alteration")</f>
        <v>9</v>
      </c>
      <c r="E48" s="46">
        <f>COUNTIFS(Applications!$A:$A,"65 Bristol Ave",Applications!$G:$G,"Addition or alteration",Applications!$I:$I,"Approved")</f>
        <v>8</v>
      </c>
      <c r="F48" s="46">
        <f>COUNTIFS(Applications!$A:$A,"65 Bristol Ave",Applications!$G:$G,"Addition or alteration",Applications!$I:$I,"Refused")</f>
        <v>0</v>
      </c>
      <c r="G48" s="46">
        <f>COUNTIFS(Applications!$A:$A,"65 Bristol Ave",Applications!$G:$G,"Addition or alteration",Applications!$I:$I,"Awaiting hearing")</f>
        <v>0</v>
      </c>
      <c r="H48" s="46">
        <f>COUNTIFS(Applications!$A:$A,"65 Bristol Ave",Applications!$G:$G,"Addition or alteration",Applications!$I:$I,"Not decided")</f>
        <v>1</v>
      </c>
      <c r="I48" s="47">
        <f>IF(E48+F48&gt;0,E48/(E48+F48),"–")</f>
        <v>1.0</v>
      </c>
      <c r="J48" s="31" t="n"/>
    </row>
    <row r="49">
      <c r="A49" s="44" t="inlineStr">
        <is>
          <t>Legalize existing work</t>
        </is>
      </c>
      <c r="B49" s="31" t="n"/>
      <c r="C49" s="31" t="n"/>
      <c r="D49" s="45">
        <f>COUNTIFS(Applications!$A:$A,"65 Bristol Ave",Applications!$G:$G,"Legalize existing work")</f>
        <v>1</v>
      </c>
      <c r="E49" s="46">
        <f>COUNTIFS(Applications!$A:$A,"65 Bristol Ave",Applications!$G:$G,"Legalize existing work",Applications!$I:$I,"Approved")</f>
        <v>0</v>
      </c>
      <c r="F49" s="46">
        <f>COUNTIFS(Applications!$A:$A,"65 Bristol Ave",Applications!$G:$G,"Legalize existing work",Applications!$I:$I,"Refused")</f>
        <v>1</v>
      </c>
      <c r="G49" s="46">
        <f>COUNTIFS(Applications!$A:$A,"65 Bristol Ave",Applications!$G:$G,"Legalize existing work",Applications!$I:$I,"Awaiting hearing")</f>
        <v>0</v>
      </c>
      <c r="H49" s="46">
        <f>COUNTIFS(Applications!$A:$A,"65 Bristol Ave",Applications!$G:$G,"Legalize existing work",Applications!$I:$I,"Not decided")</f>
        <v>0</v>
      </c>
      <c r="I49" s="47">
        <f>IF(E49+F49&gt;0,E49/(E49+F49),"–")</f>
        <v>0.0</v>
      </c>
      <c r="J49" s="31" t="n"/>
    </row>
    <row r="50">
      <c r="A50" s="44" t="inlineStr">
        <is>
          <t>Severance or consent</t>
        </is>
      </c>
      <c r="B50" s="31" t="n"/>
      <c r="C50" s="31" t="n"/>
      <c r="D50" s="45">
        <f>COUNTIFS(Applications!$A:$A,"65 Bristol Ave",Applications!$G:$G,"Severance or consent")</f>
        <v>1</v>
      </c>
      <c r="E50" s="46">
        <f>COUNTIFS(Applications!$A:$A,"65 Bristol Ave",Applications!$G:$G,"Severance or consent",Applications!$I:$I,"Approved")</f>
        <v>1</v>
      </c>
      <c r="F50" s="46">
        <f>COUNTIFS(Applications!$A:$A,"65 Bristol Ave",Applications!$G:$G,"Severance or consent",Applications!$I:$I,"Refused")</f>
        <v>0</v>
      </c>
      <c r="G50" s="46">
        <f>COUNTIFS(Applications!$A:$A,"65 Bristol Ave",Applications!$G:$G,"Severance or consent",Applications!$I:$I,"Awaiting hearing")</f>
        <v>0</v>
      </c>
      <c r="H50" s="46">
        <f>COUNTIFS(Applications!$A:$A,"65 Bristol Ave",Applications!$G:$G,"Severance or consent",Applications!$I:$I,"Not decided")</f>
        <v>0</v>
      </c>
      <c r="I50" s="47">
        <f>IF(E50+F50&gt;0,E50/(E50+F50),"–")</f>
        <v>1.0</v>
      </c>
      <c r="J50" s="31" t="n"/>
    </row>
    <row r="51">
      <c r="A51" s="44" t="inlineStr">
        <is>
          <t>Other</t>
        </is>
      </c>
      <c r="B51" s="31" t="n"/>
      <c r="C51" s="31" t="n"/>
      <c r="D51" s="45">
        <f>COUNTIFS(Applications!$A:$A,"65 Bristol Ave",Applications!$G:$G,"Other")</f>
        <v>8</v>
      </c>
      <c r="E51" s="46">
        <f>COUNTIFS(Applications!$A:$A,"65 Bristol Ave",Applications!$G:$G,"Other",Applications!$I:$I,"Approved")</f>
        <v>5</v>
      </c>
      <c r="F51" s="46">
        <f>COUNTIFS(Applications!$A:$A,"65 Bristol Ave",Applications!$G:$G,"Other",Applications!$I:$I,"Refused")</f>
        <v>0</v>
      </c>
      <c r="G51" s="46">
        <f>COUNTIFS(Applications!$A:$A,"65 Bristol Ave",Applications!$G:$G,"Other",Applications!$I:$I,"Awaiting hearing")</f>
        <v>0</v>
      </c>
      <c r="H51" s="46">
        <f>COUNTIFS(Applications!$A:$A,"65 Bristol Ave",Applications!$G:$G,"Other",Applications!$I:$I,"Not decided")</f>
        <v>3</v>
      </c>
      <c r="I51" s="47">
        <f>IF(E51+F51&gt;0,E51/(E51+F51),"–")</f>
        <v>1.0</v>
      </c>
      <c r="J51" s="31" t="n"/>
    </row>
    <row r="52"/>
    <row r="53" ht="24.2" customHeight="1">
      <c r="A53" s="48" t="inlineStr">
        <is>
          <t>Approved new houses by storeys</t>
        </is>
      </c>
      <c r="D53" s="49" t="inlineStr">
        <is>
          <t>3 storeys</t>
        </is>
      </c>
      <c r="E53" s="50">
        <f>COUNTIFS(Applications!$A:$A,"65 Bristol Ave",Applications!$G:$G,"New house",Applications!$I:$I,"Approved",Applications!$H:$H,3)</f>
        <v>2</v>
      </c>
      <c r="F53" s="49" t="inlineStr">
        <is>
          <t>2½ storeys</t>
        </is>
      </c>
      <c r="G53" s="50">
        <f>COUNTIFS(Applications!$A:$A,"65 Bristol Ave",Applications!$G:$G,"New house",Applications!$I:$I,"Approved",Applications!$H:$H,2.5)</f>
        <v>0</v>
      </c>
      <c r="H53" s="49" t="inlineStr">
        <is>
          <t>2 storeys</t>
        </is>
      </c>
      <c r="I53" s="50">
        <f>COUNTIFS(Applications!$A:$A,"65 Bristol Ave",Applications!$G:$G,"New house",Applications!$I:$I,"Approved",Applications!$H:$H,2)</f>
        <v>3</v>
      </c>
      <c r="J53" s="55" t="inlineStr">
        <is>
          <t>+1 other</t>
        </is>
      </c>
    </row>
    <row r="54"/>
    <row r="55" ht="24" customHeight="1">
      <c r="A55" s="21" t="inlineStr">
        <is>
          <t>SIGNS OF CHANGE</t>
        </is>
      </c>
      <c r="B55" s="22" t="n"/>
      <c r="C55" s="22" t="n"/>
      <c r="D55" s="22" t="n"/>
      <c r="E55" s="22" t="n"/>
      <c r="F55" s="22" t="n"/>
      <c r="G55" s="22" t="n"/>
      <c r="H55" s="22" t="n"/>
      <c r="I55" s="22" t="n"/>
      <c r="J55" s="22" t="n"/>
    </row>
    <row r="56" ht="17.2" customHeight="1">
      <c r="A56" s="25" t="inlineStr">
        <is>
          <t>Neighbours' activity that could shift what gets approved here next.</t>
        </is>
      </c>
    </row>
    <row r="57" ht="32.5" customHeight="1">
      <c r="A57" s="51" t="inlineStr">
        <is>
          <t>Severance attempt</t>
        </is>
      </c>
      <c r="B57" s="34" t="inlineStr">
        <is>
          <t>402 Salem Ave N · 224 m</t>
        </is>
      </c>
      <c r="C57" s="31" t="n"/>
      <c r="D57" s="31" t="n"/>
      <c r="E57" s="52" t="inlineStr">
        <is>
          <t>To obtain consent to create an easement/right-of-way for access and limiting distance purposes. Filed 6 Nov 2019; approved.</t>
        </is>
      </c>
      <c r="F57" s="31" t="n"/>
      <c r="G57" s="31" t="n"/>
      <c r="H57" s="31" t="n"/>
      <c r="I57" s="31" t="n"/>
      <c r="J57" s="33" t="inlineStr">
        <is>
          <t>Request from CoA staff</t>
        </is>
      </c>
    </row>
    <row r="58" ht="60" customHeight="1">
      <c r="A58" s="51" t="inlineStr">
        <is>
          <t>Development application</t>
        </is>
      </c>
      <c r="B58" s="34" t="inlineStr">
        <is>
          <t>1423 Dufferin St · 119 m</t>
        </is>
      </c>
      <c r="C58" s="31" t="n"/>
      <c r="D58" s="31" t="n"/>
      <c r="E58" s="52" t="inlineStr">
        <is>
          <t>Site Plan Approval, Application Received. 26 210726 STE 09 SA, submitted 29 Jul 2026. Proposed 9-storey (28.5 metre) apartment, containing 60 residential units with a total of 3,817 square metres of residential GFA and 122 square metres of commercial GFA.</t>
        </is>
      </c>
      <c r="F58" s="31" t="n"/>
      <c r="G58" s="31" t="n"/>
      <c r="H58" s="31" t="n"/>
      <c r="I58" s="31" t="n"/>
      <c r="J58" s="33" t="inlineStr">
        <is>
          <t>Open on City site</t>
        </is>
      </c>
    </row>
    <row r="59" ht="87.5" customHeight="1">
      <c r="A59" s="51" t="inlineStr">
        <is>
          <t>Development application</t>
        </is>
      </c>
      <c r="B59" s="34" t="inlineStr">
        <is>
          <t>1423 Dufferin St · 119 m</t>
        </is>
      </c>
      <c r="C59" s="31" t="n"/>
      <c r="D59" s="31" t="n"/>
      <c r="E59" s="52" t="inlineStr">
        <is>
          <t>Official Plan Amendment / Rezoning, Closed. 25 240145 STE 09 OZ, submitted 15 Oct 2025. The proposed development replaces the existing vacant 2-storey dwelling with a new 9-storey mixed-use building, containing 60 residential units with a total of 3,961 square metres of residential GFA and 123 square metres of non-residential GFA.</t>
        </is>
      </c>
      <c r="F59" s="31" t="n"/>
      <c r="G59" s="31" t="n"/>
      <c r="H59" s="31" t="n"/>
      <c r="I59" s="31" t="n"/>
      <c r="J59" s="33" t="inlineStr">
        <is>
          <t>Open on City site</t>
        </is>
      </c>
    </row>
    <row r="60"/>
    <row r="61">
      <c r="A61" s="53" t="inlineStr">
        <is>
          <t>Contains information licensed under the Open Government Licence – Toronto. Not a legal opinion; confirm with the City before relying on it.</t>
        </is>
      </c>
    </row>
  </sheetData>
  <mergeCells count="113">
    <mergeCell ref="G38:I38"/>
    <mergeCell ref="B42:D42"/>
    <mergeCell ref="A46:C46"/>
    <mergeCell ref="B57:D57"/>
    <mergeCell ref="D19:H19"/>
    <mergeCell ref="A21:C21"/>
    <mergeCell ref="B34:D34"/>
    <mergeCell ref="B37:D37"/>
    <mergeCell ref="A23:C23"/>
    <mergeCell ref="J29"/>
    <mergeCell ref="B30:D30"/>
    <mergeCell ref="H3:J3"/>
    <mergeCell ref="E34:F34"/>
    <mergeCell ref="A6:J6"/>
    <mergeCell ref="E36:F36"/>
    <mergeCell ref="G36:I36"/>
    <mergeCell ref="G42:I42"/>
    <mergeCell ref="A49:C49"/>
    <mergeCell ref="A55:J55"/>
    <mergeCell ref="D23:H23"/>
    <mergeCell ref="I13:J13"/>
    <mergeCell ref="E58:I58"/>
    <mergeCell ref="E12:F12"/>
    <mergeCell ref="A5:J5"/>
    <mergeCell ref="G12:H12"/>
    <mergeCell ref="B3:C3"/>
    <mergeCell ref="G37:I37"/>
    <mergeCell ref="A11:B11"/>
    <mergeCell ref="A29"/>
    <mergeCell ref="G30:I30"/>
    <mergeCell ref="A44:J44"/>
    <mergeCell ref="E38:F38"/>
    <mergeCell ref="A15:J15"/>
    <mergeCell ref="E40:F40"/>
    <mergeCell ref="D17:H17"/>
    <mergeCell ref="G32:I32"/>
    <mergeCell ref="B36:D36"/>
    <mergeCell ref="E59:I59"/>
    <mergeCell ref="G41:I41"/>
    <mergeCell ref="A7:J7"/>
    <mergeCell ref="J53"/>
    <mergeCell ref="A16:J16"/>
    <mergeCell ref="I17:J17"/>
    <mergeCell ref="A24:C24"/>
    <mergeCell ref="A51:C51"/>
    <mergeCell ref="B59:D59"/>
    <mergeCell ref="D25:H25"/>
    <mergeCell ref="E57:I57"/>
    <mergeCell ref="B31:D31"/>
    <mergeCell ref="I19:J19"/>
    <mergeCell ref="A2:J2"/>
    <mergeCell ref="B39:D39"/>
    <mergeCell ref="A25:C25"/>
    <mergeCell ref="G11:H11"/>
    <mergeCell ref="I11:J11"/>
    <mergeCell ref="A18:C18"/>
    <mergeCell ref="G34:I34"/>
    <mergeCell ref="A50:C50"/>
    <mergeCell ref="A28:J28"/>
    <mergeCell ref="E39:F39"/>
    <mergeCell ref="D21:H21"/>
    <mergeCell ref="A47:C47"/>
    <mergeCell ref="E29:F29"/>
    <mergeCell ref="A22:C22"/>
    <mergeCell ref="E13:F13"/>
    <mergeCell ref="G13:H13"/>
    <mergeCell ref="G29:I29"/>
    <mergeCell ref="A20:C20"/>
    <mergeCell ref="E31:F31"/>
    <mergeCell ref="A12:B12"/>
    <mergeCell ref="C12:D12"/>
    <mergeCell ref="A61:J61"/>
    <mergeCell ref="B41:D41"/>
    <mergeCell ref="G31:I31"/>
    <mergeCell ref="B35:D35"/>
    <mergeCell ref="G40:I40"/>
    <mergeCell ref="D18:H18"/>
    <mergeCell ref="E32:F32"/>
    <mergeCell ref="A56:J56"/>
    <mergeCell ref="A27:J27"/>
    <mergeCell ref="E41:F41"/>
    <mergeCell ref="D20:H20"/>
    <mergeCell ref="A8:J8"/>
    <mergeCell ref="E33:F33"/>
    <mergeCell ref="E42:F42"/>
    <mergeCell ref="A1:H1"/>
    <mergeCell ref="B29:D29"/>
    <mergeCell ref="D22:H22"/>
    <mergeCell ref="A10:J10"/>
    <mergeCell ref="B38:D38"/>
    <mergeCell ref="G33:I33"/>
    <mergeCell ref="F3:G3"/>
    <mergeCell ref="E35:F35"/>
    <mergeCell ref="A17:C17"/>
    <mergeCell ref="B40:D40"/>
    <mergeCell ref="G35:I35"/>
    <mergeCell ref="A53:C53"/>
    <mergeCell ref="B33:D33"/>
    <mergeCell ref="A45:J45"/>
    <mergeCell ref="I12:J12"/>
    <mergeCell ref="A19:C19"/>
    <mergeCell ref="E30:F30"/>
    <mergeCell ref="C11:D11"/>
    <mergeCell ref="B32:D32"/>
    <mergeCell ref="E11:F11"/>
    <mergeCell ref="A48:C48"/>
    <mergeCell ref="I1:J1"/>
    <mergeCell ref="D24:H24"/>
    <mergeCell ref="G39:I39"/>
    <mergeCell ref="B58:D58"/>
    <mergeCell ref="A13:B13"/>
    <mergeCell ref="E37:F37"/>
    <mergeCell ref="C13:D13"/>
  </mergeCells>
  <hyperlinks>
    <hyperlink ref="A3" location="'Summary'!A1" display="← Summary"/>
    <hyperlink xmlns:r="http://schemas.openxmlformats.org/officeDocument/2006/relationships" ref="B3" r:id="rId1"/>
    <hyperlink xmlns:r="http://schemas.openxmlformats.org/officeDocument/2006/relationships" ref="D3" r:id="rId2"/>
    <hyperlink xmlns:r="http://schemas.openxmlformats.org/officeDocument/2006/relationships" ref="E3" r:id="rId3"/>
    <hyperlink xmlns:r="http://schemas.openxmlformats.org/officeDocument/2006/relationships" ref="F3" r:id="rId4"/>
    <hyperlink ref="H3" location="'Applications'!A4" display="All 25 applications →"/>
    <hyperlink xmlns:r="http://schemas.openxmlformats.org/officeDocument/2006/relationships" ref="I17" r:id="rId5"/>
    <hyperlink xmlns:r="http://schemas.openxmlformats.org/officeDocument/2006/relationships" ref="I19" r:id="rId6"/>
    <hyperlink xmlns:r="http://schemas.openxmlformats.org/officeDocument/2006/relationships" ref="J30" r:id="rId7"/>
    <hyperlink xmlns:r="http://schemas.openxmlformats.org/officeDocument/2006/relationships" ref="J31" r:id="rId8"/>
    <hyperlink xmlns:r="http://schemas.openxmlformats.org/officeDocument/2006/relationships" ref="J32" r:id="rId9"/>
    <hyperlink xmlns:r="http://schemas.openxmlformats.org/officeDocument/2006/relationships" ref="J33" r:id="rId10"/>
    <hyperlink xmlns:r="http://schemas.openxmlformats.org/officeDocument/2006/relationships" ref="J34" r:id="rId11"/>
    <hyperlink xmlns:r="http://schemas.openxmlformats.org/officeDocument/2006/relationships" ref="J35" r:id="rId12"/>
    <hyperlink xmlns:r="http://schemas.openxmlformats.org/officeDocument/2006/relationships" ref="J36" r:id="rId13"/>
    <hyperlink xmlns:r="http://schemas.openxmlformats.org/officeDocument/2006/relationships" ref="J37" r:id="rId14"/>
    <hyperlink xmlns:r="http://schemas.openxmlformats.org/officeDocument/2006/relationships" ref="J38" r:id="rId15"/>
    <hyperlink xmlns:r="http://schemas.openxmlformats.org/officeDocument/2006/relationships" ref="J39" r:id="rId16"/>
    <hyperlink xmlns:r="http://schemas.openxmlformats.org/officeDocument/2006/relationships" ref="J40" r:id="rId17"/>
    <hyperlink xmlns:r="http://schemas.openxmlformats.org/officeDocument/2006/relationships" ref="J41" r:id="rId18"/>
    <hyperlink xmlns:r="http://schemas.openxmlformats.org/officeDocument/2006/relationships" ref="J42" r:id="rId19"/>
    <hyperlink xmlns:r="http://schemas.openxmlformats.org/officeDocument/2006/relationships" ref="J57" r:id="rId20"/>
    <hyperlink xmlns:r="http://schemas.openxmlformats.org/officeDocument/2006/relationships" ref="J58" r:id="rId21"/>
    <hyperlink xmlns:r="http://schemas.openxmlformats.org/officeDocument/2006/relationships" ref="J59" r:id="rId22"/>
  </hyperlinks>
  <pageMargins left="0.4" right="0.4" top="0.5" bottom="0.5" header="0.5" footer="0.5"/>
  <pageSetup orientation="landscape" paperSize="1" fitToHeight="0" fitToWidth="1"/>
  <headerFooter>
    <oddHeader>&amp;R&amp;8 &amp;K8A7E72Parcis · Evaluation copy</oddHeader>
    <oddFooter>&amp;L&amp;8 Parcis · © 2026 Joshua Seaton. All rights reserved. Evaluation copy.&amp;C&amp;8 &amp;A&amp;R&amp;8 Page &amp;P of &amp;N</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008A7E72"/>
    <outlinePr summaryBelow="1" summaryRight="1"/>
    <pageSetUpPr fitToPage="1"/>
  </sheetPr>
  <dimension ref="A1:R7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22" customWidth="1" min="3" max="3"/>
    <col width="14" customWidth="1" min="4" max="4"/>
    <col width="22" customWidth="1" min="5" max="5"/>
    <col width="14" customWidth="1" min="6" max="6"/>
    <col width="21" customWidth="1" min="7" max="7"/>
    <col width="8" customWidth="1" min="8" max="8"/>
    <col width="16" customWidth="1" min="9" max="9"/>
    <col width="22" customWidth="1" min="10" max="10"/>
    <col width="12" customWidth="1" min="11" max="11"/>
    <col width="12" customWidth="1" min="12" max="12"/>
    <col width="10" customWidth="1" min="13" max="13"/>
    <col width="14" customWidth="1" min="14" max="14"/>
    <col width="16" customWidth="1" min="15" max="15"/>
    <col width="64" customWidth="1" min="16" max="16"/>
    <col width="8" customWidth="1" min="17" max="17"/>
    <col width="12" customWidth="1" min="18" max="18"/>
  </cols>
  <sheetData>
    <row r="1" ht="34" customHeight="1">
      <c r="A1" s="1" t="inlineStr">
        <is>
          <t>Committee of Adjustment applications near each lot</t>
        </is>
      </c>
    </row>
    <row r="2" ht="34" customHeight="1">
      <c r="A2" s="56" t="inlineStr">
        <is>
          <t>Every minor variance and consent file within each lot's radius. Filter Lot to see one lot. Documents says where to get the file's papers (its AIC page, or CoA staff and the Research Request Portal); Raw City data opens the Open Data row.  ·  Parcis · © 2026 Joshua Seaton. All rights reserved. Evaluation copy.</t>
        </is>
      </c>
    </row>
    <row r="3" ht="20" customHeight="1">
      <c r="A3" s="57" t="inlineStr">
        <is>
          <t>← Summary</t>
        </is>
      </c>
    </row>
    <row r="4" ht="30" customHeight="1">
      <c r="A4" s="58" t="inlineStr">
        <is>
          <t>Lot</t>
        </is>
      </c>
      <c r="B4" s="58" t="inlineStr">
        <is>
          <t>Dist. (m)</t>
        </is>
      </c>
      <c r="C4" s="58" t="inlineStr">
        <is>
          <t>Address</t>
        </is>
      </c>
      <c r="D4" s="58" t="inlineStr">
        <is>
          <t>File</t>
        </is>
      </c>
      <c r="E4" s="58" t="inlineStr">
        <is>
          <t>Documents</t>
        </is>
      </c>
      <c r="F4" s="58" t="inlineStr">
        <is>
          <t>Application</t>
        </is>
      </c>
      <c r="G4" s="58" t="inlineStr">
        <is>
          <t>Project type</t>
        </is>
      </c>
      <c r="H4" s="58" t="inlineStr">
        <is>
          <t>Storeys</t>
        </is>
      </c>
      <c r="I4" s="58" t="inlineStr">
        <is>
          <t>Outcome</t>
        </is>
      </c>
      <c r="J4" s="58" t="inlineStr">
        <is>
          <t>Decision on file</t>
        </is>
      </c>
      <c r="K4" s="58" t="inlineStr">
        <is>
          <t>Filed</t>
        </is>
      </c>
      <c r="L4" s="58" t="inlineStr">
        <is>
          <t>Hearing</t>
        </is>
      </c>
      <c r="M4" s="58" t="inlineStr">
        <is>
          <t>Weeks to hearing</t>
        </is>
      </c>
      <c r="N4" s="58" t="inlineStr">
        <is>
          <t>Appeal</t>
        </is>
      </c>
      <c r="O4" s="58" t="inlineStr">
        <is>
          <t>Built under permit</t>
        </is>
      </c>
      <c r="P4" s="58" t="inlineStr">
        <is>
          <t>What was asked</t>
        </is>
      </c>
      <c r="Q4" s="58" t="inlineStr">
        <is>
          <t>Map</t>
        </is>
      </c>
      <c r="R4" s="58" t="inlineStr">
        <is>
          <t>Raw City data</t>
        </is>
      </c>
    </row>
    <row r="5" ht="29" customHeight="1">
      <c r="A5" s="59" t="inlineStr">
        <is>
          <t>32 Ardmore Rd</t>
        </is>
      </c>
      <c r="B5" s="60" t="n">
        <v>21</v>
      </c>
      <c r="C5" s="59" t="inlineStr">
        <is>
          <t>200 Vesta Dr</t>
        </is>
      </c>
      <c r="D5" s="59" t="inlineStr">
        <is>
          <t>A0385/18TEY</t>
        </is>
      </c>
      <c r="E5" s="61" t="inlineStr">
        <is>
          <t>Request from CoA staff</t>
        </is>
      </c>
      <c r="F5" s="59" t="inlineStr">
        <is>
          <t>Minor variance</t>
        </is>
      </c>
      <c r="G5" s="59" t="inlineStr">
        <is>
          <t>New house</t>
        </is>
      </c>
      <c r="H5" s="59" t="n">
        <v>2.5</v>
      </c>
      <c r="I5" s="62" t="inlineStr">
        <is>
          <t>Approved</t>
        </is>
      </c>
      <c r="J5" s="59" t="inlineStr">
        <is>
          <t>Approved</t>
        </is>
      </c>
      <c r="K5" s="63" t="n">
        <v>43201</v>
      </c>
      <c r="L5" s="63" t="n">
        <v>43369</v>
      </c>
      <c r="M5" s="64" t="n">
        <v>24</v>
      </c>
      <c r="N5" s="59" t="n"/>
      <c r="O5" s="59" t="n"/>
      <c r="P5" s="65" t="inlineStr">
        <is>
          <t>To construct a new 2-½ storey detached dwelling with integral garage and rear ground floor deck.</t>
        </is>
      </c>
      <c r="Q5" s="61" t="inlineStr">
        <is>
          <t>Map</t>
        </is>
      </c>
      <c r="R5" s="61" t="inlineStr">
        <is>
          <t>Raw data</t>
        </is>
      </c>
    </row>
    <row r="6" ht="29" customHeight="1">
      <c r="A6" s="59" t="inlineStr">
        <is>
          <t>32 Ardmore Rd</t>
        </is>
      </c>
      <c r="B6" s="60" t="n">
        <v>52</v>
      </c>
      <c r="C6" s="59" t="inlineStr">
        <is>
          <t>123 Glenayr Rd</t>
        </is>
      </c>
      <c r="D6" s="59" t="inlineStr">
        <is>
          <t>A1347/19TEY</t>
        </is>
      </c>
      <c r="E6" s="61" t="inlineStr">
        <is>
          <t>Request from CoA staff</t>
        </is>
      </c>
      <c r="F6" s="59" t="inlineStr">
        <is>
          <t>Minor variance</t>
        </is>
      </c>
      <c r="G6" s="59" t="inlineStr">
        <is>
          <t>New house</t>
        </is>
      </c>
      <c r="H6" s="59" t="n">
        <v>3</v>
      </c>
      <c r="I6" s="62" t="inlineStr">
        <is>
          <t>Approved</t>
        </is>
      </c>
      <c r="J6" s="59" t="inlineStr">
        <is>
          <t>Approved</t>
        </is>
      </c>
      <c r="K6" s="63" t="n">
        <v>43829</v>
      </c>
      <c r="L6" s="63" t="n">
        <v>44090</v>
      </c>
      <c r="M6" s="64" t="n">
        <v>37</v>
      </c>
      <c r="N6" s="59" t="n"/>
      <c r="O6" s="59" t="inlineStr">
        <is>
          <t>21 151544</t>
        </is>
      </c>
      <c r="P6" s="65" t="inlineStr">
        <is>
          <t>To construct a new three-storey detached dwelling with side integral garage, rear ground floor deck, and front porch.</t>
        </is>
      </c>
      <c r="Q6" s="61" t="inlineStr">
        <is>
          <t>Map</t>
        </is>
      </c>
      <c r="R6" s="61" t="inlineStr">
        <is>
          <t>Raw data</t>
        </is>
      </c>
    </row>
    <row r="7" ht="55" customHeight="1">
      <c r="A7" s="59" t="inlineStr">
        <is>
          <t>32 Ardmore Rd</t>
        </is>
      </c>
      <c r="B7" s="60" t="n">
        <v>60</v>
      </c>
      <c r="C7" s="59" t="inlineStr">
        <is>
          <t>201 Vesta Dr</t>
        </is>
      </c>
      <c r="D7" s="59" t="inlineStr">
        <is>
          <t>A0276/24TEY</t>
        </is>
      </c>
      <c r="E7" s="61" t="inlineStr">
        <is>
          <t>Request from CoA staff</t>
        </is>
      </c>
      <c r="F7" s="59" t="inlineStr">
        <is>
          <t>Minor variance</t>
        </is>
      </c>
      <c r="G7" s="59" t="inlineStr">
        <is>
          <t>Pool, deck or exterior</t>
        </is>
      </c>
      <c r="H7" s="59" t="n"/>
      <c r="I7" s="62" t="inlineStr">
        <is>
          <t>Approved</t>
        </is>
      </c>
      <c r="J7" s="59" t="inlineStr">
        <is>
          <t>Approved</t>
        </is>
      </c>
      <c r="K7" s="63" t="n">
        <v>45370</v>
      </c>
      <c r="L7" s="63" t="n">
        <v>45420</v>
      </c>
      <c r="M7" s="64" t="n">
        <v>7</v>
      </c>
      <c r="N7" s="59" t="n"/>
      <c r="O7" s="59" t="n"/>
      <c r="P7" s="65" t="inlineStr">
        <is>
          <t>To construct a new one-storey ancillary structure (covered cabana), and an in-ground swimming pool (including pool equipment), in the rear yard. The existing two-and-one-half-storey detached dwelling will be maintained and unaltered.</t>
        </is>
      </c>
      <c r="Q7" s="61" t="inlineStr">
        <is>
          <t>Map</t>
        </is>
      </c>
      <c r="R7" s="61" t="inlineStr">
        <is>
          <t>Raw data</t>
        </is>
      </c>
    </row>
    <row r="8" ht="29" customHeight="1">
      <c r="A8" s="59" t="inlineStr">
        <is>
          <t>32 Ardmore Rd</t>
        </is>
      </c>
      <c r="B8" s="60" t="n">
        <v>79</v>
      </c>
      <c r="C8" s="59" t="inlineStr">
        <is>
          <t>215 Glenayr Rd</t>
        </is>
      </c>
      <c r="D8" s="59" t="inlineStr">
        <is>
          <t>A0286/17TEY</t>
        </is>
      </c>
      <c r="E8" s="61" t="inlineStr">
        <is>
          <t>Request from CoA staff</t>
        </is>
      </c>
      <c r="F8" s="59" t="inlineStr">
        <is>
          <t>Minor variance</t>
        </is>
      </c>
      <c r="G8" s="59" t="inlineStr">
        <is>
          <t>Addition or alteration</t>
        </is>
      </c>
      <c r="H8" s="59" t="n">
        <v>3</v>
      </c>
      <c r="I8" s="62" t="inlineStr">
        <is>
          <t>Approved</t>
        </is>
      </c>
      <c r="J8" s="59" t="inlineStr">
        <is>
          <t>Approved</t>
        </is>
      </c>
      <c r="K8" s="63" t="n">
        <v>42804</v>
      </c>
      <c r="L8" s="63" t="n">
        <v>42942</v>
      </c>
      <c r="M8" s="64" t="n">
        <v>20</v>
      </c>
      <c r="N8" s="59" t="n"/>
      <c r="O8" s="59" t="n"/>
      <c r="P8" s="65" t="inlineStr">
        <is>
          <t>To alter the approved building permit plans for alterations to a two-storey detached dwelling by constructing a third floor addition.</t>
        </is>
      </c>
      <c r="Q8" s="61" t="inlineStr">
        <is>
          <t>Map</t>
        </is>
      </c>
      <c r="R8" s="61" t="inlineStr">
        <is>
          <t>Raw data</t>
        </is>
      </c>
    </row>
    <row r="9" ht="42" customHeight="1">
      <c r="A9" s="59" t="inlineStr">
        <is>
          <t>32 Ardmore Rd</t>
        </is>
      </c>
      <c r="B9" s="60" t="n">
        <v>96</v>
      </c>
      <c r="C9" s="59" t="inlineStr">
        <is>
          <t>210 Glenayr Rd</t>
        </is>
      </c>
      <c r="D9" s="59" t="inlineStr">
        <is>
          <t>A1119/21TEY</t>
        </is>
      </c>
      <c r="E9" s="61" t="inlineStr">
        <is>
          <t>Request from CoA staff</t>
        </is>
      </c>
      <c r="F9" s="59" t="inlineStr">
        <is>
          <t>Minor variance</t>
        </is>
      </c>
      <c r="G9" s="59" t="inlineStr">
        <is>
          <t>New house</t>
        </is>
      </c>
      <c r="H9" s="59" t="n">
        <v>3</v>
      </c>
      <c r="I9" s="62" t="inlineStr">
        <is>
          <t>Approved</t>
        </is>
      </c>
      <c r="J9" s="59" t="inlineStr">
        <is>
          <t>Approved</t>
        </is>
      </c>
      <c r="K9" s="63" t="n">
        <v>44439</v>
      </c>
      <c r="L9" s="63" t="n">
        <v>44573</v>
      </c>
      <c r="M9" s="64" t="n">
        <v>19</v>
      </c>
      <c r="N9" s="59" t="n"/>
      <c r="O9" s="59" t="n"/>
      <c r="P9" s="65" t="inlineStr">
        <is>
          <t>To construct a new three-storey detached dwelling with an integral garage, a front porch, a rear patio, a rear basement walkout, a second storey front balcony, and second and third storey rear balconies.</t>
        </is>
      </c>
      <c r="Q9" s="61" t="inlineStr">
        <is>
          <t>Map</t>
        </is>
      </c>
      <c r="R9" s="61" t="inlineStr">
        <is>
          <t>Raw data</t>
        </is>
      </c>
    </row>
    <row r="10" ht="68" customHeight="1">
      <c r="A10" s="59" t="inlineStr">
        <is>
          <t>32 Ardmore Rd</t>
        </is>
      </c>
      <c r="B10" s="60" t="n">
        <v>108</v>
      </c>
      <c r="C10" s="59" t="inlineStr">
        <is>
          <t>212 Glenayr Rd</t>
        </is>
      </c>
      <c r="D10" s="59" t="inlineStr">
        <is>
          <t>A0670/23TEY</t>
        </is>
      </c>
      <c r="E10" s="61" t="inlineStr">
        <is>
          <t>Request from CoA staff</t>
        </is>
      </c>
      <c r="F10" s="59" t="inlineStr">
        <is>
          <t>Minor variance</t>
        </is>
      </c>
      <c r="G10" s="59" t="inlineStr">
        <is>
          <t>New house</t>
        </is>
      </c>
      <c r="H10" s="59" t="n">
        <v>3</v>
      </c>
      <c r="I10" s="62" t="inlineStr">
        <is>
          <t>Approved</t>
        </is>
      </c>
      <c r="J10" s="59" t="inlineStr">
        <is>
          <t>Approved</t>
        </is>
      </c>
      <c r="K10" s="63" t="n">
        <v>45134</v>
      </c>
      <c r="L10" s="63" t="n">
        <v>45189</v>
      </c>
      <c r="M10" s="64" t="n">
        <v>8</v>
      </c>
      <c r="N10" s="59" t="n"/>
      <c r="O10" s="59" t="n"/>
      <c r="P10" s="65" t="inlineStr">
        <is>
          <t>To construct a new three-storey detached dwelling with a ground level front integral garage (including a car lift), a rear ground level deck and patio, a rear second floor balcony, front and rear third floor balconies, and a rear basement walkout (with stairs). Also, to construct a rear in-ground swimming pool.</t>
        </is>
      </c>
      <c r="Q10" s="61" t="inlineStr">
        <is>
          <t>Map</t>
        </is>
      </c>
      <c r="R10" s="61" t="inlineStr">
        <is>
          <t>Raw data</t>
        </is>
      </c>
    </row>
    <row r="11" ht="42" customHeight="1">
      <c r="A11" s="59" t="inlineStr">
        <is>
          <t>32 Ardmore Rd</t>
        </is>
      </c>
      <c r="B11" s="60" t="n">
        <v>114</v>
      </c>
      <c r="C11" s="59" t="inlineStr">
        <is>
          <t>218 Vesta Dr</t>
        </is>
      </c>
      <c r="D11" s="59" t="inlineStr">
        <is>
          <t>A0026/22TEY</t>
        </is>
      </c>
      <c r="E11" s="61" t="inlineStr">
        <is>
          <t>Request from CoA staff</t>
        </is>
      </c>
      <c r="F11" s="59" t="inlineStr">
        <is>
          <t>Minor variance</t>
        </is>
      </c>
      <c r="G11" s="59" t="inlineStr">
        <is>
          <t>Legalize existing work</t>
        </is>
      </c>
      <c r="H11" s="59" t="n"/>
      <c r="I11" s="66" t="inlineStr">
        <is>
          <t>Refused</t>
        </is>
      </c>
      <c r="J11" s="59" t="inlineStr">
        <is>
          <t>Refused</t>
        </is>
      </c>
      <c r="K11" s="63" t="n">
        <v>44544</v>
      </c>
      <c r="L11" s="63" t="n">
        <v>44650</v>
      </c>
      <c r="M11" s="64" t="n">
        <v>15</v>
      </c>
      <c r="N11" s="59" t="n"/>
      <c r="O11" s="59" t="n"/>
      <c r="P11" s="65" t="inlineStr">
        <is>
          <t>To legalize and to maintain the rear ground floor deck and rear basement addition which were constructed without the benefit of a building permit.</t>
        </is>
      </c>
      <c r="Q11" s="61" t="inlineStr">
        <is>
          <t>Map</t>
        </is>
      </c>
      <c r="R11" s="61" t="inlineStr">
        <is>
          <t>Raw data</t>
        </is>
      </c>
    </row>
    <row r="12" ht="29" customHeight="1">
      <c r="A12" s="59" t="inlineStr">
        <is>
          <t>32 Ardmore Rd</t>
        </is>
      </c>
      <c r="B12" s="60" t="n">
        <v>114</v>
      </c>
      <c r="C12" s="59" t="inlineStr">
        <is>
          <t>218 Vesta Dr</t>
        </is>
      </c>
      <c r="D12" s="59" t="inlineStr">
        <is>
          <t>A0787/17TEY</t>
        </is>
      </c>
      <c r="E12" s="61" t="inlineStr">
        <is>
          <t>Request from CoA staff</t>
        </is>
      </c>
      <c r="F12" s="59" t="inlineStr">
        <is>
          <t>Minor variance</t>
        </is>
      </c>
      <c r="G12" s="59" t="inlineStr">
        <is>
          <t>New house</t>
        </is>
      </c>
      <c r="H12" s="59" t="n">
        <v>2</v>
      </c>
      <c r="I12" s="62" t="inlineStr">
        <is>
          <t>Approved</t>
        </is>
      </c>
      <c r="J12" s="59" t="inlineStr">
        <is>
          <t>Approved</t>
        </is>
      </c>
      <c r="K12" s="63" t="n">
        <v>42933</v>
      </c>
      <c r="L12" s="63" t="n">
        <v>43047</v>
      </c>
      <c r="M12" s="64" t="n">
        <v>16</v>
      </c>
      <c r="N12" s="59" t="n"/>
      <c r="O12" s="59" t="n"/>
      <c r="P12" s="65" t="inlineStr">
        <is>
          <t>To construct a new two-storey detached dwelling with an integral garage.</t>
        </is>
      </c>
      <c r="Q12" s="61" t="inlineStr">
        <is>
          <t>Map</t>
        </is>
      </c>
      <c r="R12" s="61" t="inlineStr">
        <is>
          <t>Raw data</t>
        </is>
      </c>
    </row>
    <row r="13" ht="16" customHeight="1">
      <c r="A13" s="59" t="inlineStr">
        <is>
          <t>32 Ardmore Rd</t>
        </is>
      </c>
      <c r="B13" s="60" t="n">
        <v>125</v>
      </c>
      <c r="C13" s="59" t="inlineStr">
        <is>
          <t>216 Glenayr Rd</t>
        </is>
      </c>
      <c r="D13" s="59" t="inlineStr">
        <is>
          <t>A1123/18TEY</t>
        </is>
      </c>
      <c r="E13" s="61" t="inlineStr">
        <is>
          <t>Request from CoA staff</t>
        </is>
      </c>
      <c r="F13" s="59" t="inlineStr">
        <is>
          <t>Minor variance</t>
        </is>
      </c>
      <c r="G13" s="59" t="inlineStr">
        <is>
          <t>New house</t>
        </is>
      </c>
      <c r="H13" s="59" t="n">
        <v>2</v>
      </c>
      <c r="I13" s="62" t="inlineStr">
        <is>
          <t>Approved</t>
        </is>
      </c>
      <c r="J13" s="59" t="inlineStr">
        <is>
          <t>Approved</t>
        </is>
      </c>
      <c r="K13" s="63" t="n">
        <v>43431</v>
      </c>
      <c r="L13" s="63" t="n">
        <v>43544</v>
      </c>
      <c r="M13" s="64" t="n">
        <v>16</v>
      </c>
      <c r="N13" s="59" t="n"/>
      <c r="O13" s="59" t="n"/>
      <c r="P13" s="65" t="inlineStr">
        <is>
          <t>To construct a new two-storey detached dwelling.</t>
        </is>
      </c>
      <c r="Q13" s="61" t="inlineStr">
        <is>
          <t>Map</t>
        </is>
      </c>
      <c r="R13" s="61" t="inlineStr">
        <is>
          <t>Raw data</t>
        </is>
      </c>
    </row>
    <row r="14" ht="29" customHeight="1">
      <c r="A14" s="59" t="inlineStr">
        <is>
          <t>32 Ardmore Rd</t>
        </is>
      </c>
      <c r="B14" s="60" t="n">
        <v>130</v>
      </c>
      <c r="C14" s="59" t="inlineStr">
        <is>
          <t>16 Ardmore Rd</t>
        </is>
      </c>
      <c r="D14" s="59" t="inlineStr">
        <is>
          <t>A1011/16TEY</t>
        </is>
      </c>
      <c r="E14" s="61" t="inlineStr">
        <is>
          <t>Request from CoA staff</t>
        </is>
      </c>
      <c r="F14" s="59" t="inlineStr">
        <is>
          <t>Minor variance</t>
        </is>
      </c>
      <c r="G14" s="59" t="inlineStr">
        <is>
          <t>New house</t>
        </is>
      </c>
      <c r="H14" s="59" t="n">
        <v>2</v>
      </c>
      <c r="I14" s="62" t="inlineStr">
        <is>
          <t>Approved</t>
        </is>
      </c>
      <c r="J14" s="59" t="inlineStr">
        <is>
          <t>Approved</t>
        </is>
      </c>
      <c r="K14" s="63" t="n">
        <v>42660</v>
      </c>
      <c r="L14" s="63" t="n">
        <v>42781</v>
      </c>
      <c r="M14" s="64" t="n">
        <v>17</v>
      </c>
      <c r="N14" s="59" t="n"/>
      <c r="O14" s="59" t="n"/>
      <c r="P14" s="65" t="inlineStr">
        <is>
          <t>To construct a new two-storey detached dwewlling with below-grade integral garage.</t>
        </is>
      </c>
      <c r="Q14" s="61" t="inlineStr">
        <is>
          <t>Map</t>
        </is>
      </c>
      <c r="R14" s="61" t="inlineStr">
        <is>
          <t>Raw data</t>
        </is>
      </c>
    </row>
    <row r="15" ht="42" customHeight="1">
      <c r="A15" s="59" t="inlineStr">
        <is>
          <t>32 Ardmore Rd</t>
        </is>
      </c>
      <c r="B15" s="60" t="n">
        <v>131</v>
      </c>
      <c r="C15" s="59" t="inlineStr">
        <is>
          <t>201 Rosemary Rd</t>
        </is>
      </c>
      <c r="D15" s="59" t="inlineStr">
        <is>
          <t>A1279/19TEY</t>
        </is>
      </c>
      <c r="E15" s="61" t="inlineStr">
        <is>
          <t>Request from CoA staff</t>
        </is>
      </c>
      <c r="F15" s="59" t="inlineStr">
        <is>
          <t>Minor variance</t>
        </is>
      </c>
      <c r="G15" s="59" t="inlineStr">
        <is>
          <t>New house</t>
        </is>
      </c>
      <c r="H15" s="59" t="n">
        <v>3</v>
      </c>
      <c r="I15" s="62" t="inlineStr">
        <is>
          <t>Approved</t>
        </is>
      </c>
      <c r="J15" s="59" t="inlineStr">
        <is>
          <t>Approved</t>
        </is>
      </c>
      <c r="K15" s="63" t="n">
        <v>43808</v>
      </c>
      <c r="L15" s="63" t="n">
        <v>44034</v>
      </c>
      <c r="M15" s="64" t="n">
        <v>32</v>
      </c>
      <c r="N15" s="59" t="n"/>
      <c r="O15" s="59" t="n"/>
      <c r="P15" s="65" t="inlineStr">
        <is>
          <t>To construct a new three-storey detached house with an integral stacked parking garage, rear basement walkout, rear deck and front and rear second storey balconies.</t>
        </is>
      </c>
      <c r="Q15" s="61" t="inlineStr">
        <is>
          <t>Map</t>
        </is>
      </c>
      <c r="R15" s="61" t="inlineStr">
        <is>
          <t>Raw data</t>
        </is>
      </c>
    </row>
    <row r="16" ht="42" customHeight="1">
      <c r="A16" s="59" t="inlineStr">
        <is>
          <t>32 Ardmore Rd</t>
        </is>
      </c>
      <c r="B16" s="60" t="n">
        <v>133</v>
      </c>
      <c r="C16" s="59" t="inlineStr">
        <is>
          <t>107 Vesta Dr</t>
        </is>
      </c>
      <c r="D16" s="59" t="inlineStr">
        <is>
          <t>A0251/20TEY</t>
        </is>
      </c>
      <c r="E16" s="61" t="inlineStr">
        <is>
          <t>Request from CoA staff</t>
        </is>
      </c>
      <c r="F16" s="59" t="inlineStr">
        <is>
          <t>Minor variance</t>
        </is>
      </c>
      <c r="G16" s="59" t="inlineStr">
        <is>
          <t>Legalize existing work</t>
        </is>
      </c>
      <c r="H16" s="59" t="n"/>
      <c r="I16" s="62" t="inlineStr">
        <is>
          <t>Approved</t>
        </is>
      </c>
      <c r="J16" s="59" t="inlineStr">
        <is>
          <t>Approved</t>
        </is>
      </c>
      <c r="K16" s="63" t="n">
        <v>43886</v>
      </c>
      <c r="L16" s="63" t="n">
        <v>44069</v>
      </c>
      <c r="M16" s="64" t="n">
        <v>26</v>
      </c>
      <c r="N16" s="59" t="n"/>
      <c r="O16" s="59" t="n"/>
      <c r="P16" s="65" t="inlineStr">
        <is>
          <t>To legalize and maintain the landscaping, decks and shed to the rear of the existing 2 ½-storey detached house, constructed without proper authorization.</t>
        </is>
      </c>
      <c r="Q16" s="61" t="inlineStr">
        <is>
          <t>Map</t>
        </is>
      </c>
      <c r="R16" s="61" t="inlineStr">
        <is>
          <t>Raw data</t>
        </is>
      </c>
    </row>
    <row r="17" ht="29" customHeight="1">
      <c r="A17" s="59" t="inlineStr">
        <is>
          <t>32 Ardmore Rd</t>
        </is>
      </c>
      <c r="B17" s="60" t="n">
        <v>136</v>
      </c>
      <c r="C17" s="59" t="inlineStr">
        <is>
          <t>207 Rosemary Rd</t>
        </is>
      </c>
      <c r="D17" s="59" t="inlineStr">
        <is>
          <t>A1233/21TEY</t>
        </is>
      </c>
      <c r="E17" s="61" t="inlineStr">
        <is>
          <t>Request from CoA staff</t>
        </is>
      </c>
      <c r="F17" s="59" t="inlineStr">
        <is>
          <t>Minor variance</t>
        </is>
      </c>
      <c r="G17" s="59" t="inlineStr">
        <is>
          <t>New house</t>
        </is>
      </c>
      <c r="H17" s="59" t="n">
        <v>3</v>
      </c>
      <c r="I17" s="62" t="inlineStr">
        <is>
          <t>Approved</t>
        </is>
      </c>
      <c r="J17" s="59" t="inlineStr">
        <is>
          <t>Approved</t>
        </is>
      </c>
      <c r="K17" s="63" t="n">
        <v>44460</v>
      </c>
      <c r="L17" s="63" t="n">
        <v>44587</v>
      </c>
      <c r="M17" s="64" t="n">
        <v>18</v>
      </c>
      <c r="N17" s="59" t="n"/>
      <c r="O17" s="59" t="n"/>
      <c r="P17" s="65" t="inlineStr">
        <is>
          <t>To construct a new three-storey detached dwelling with an integral garage and rear basement walkout.</t>
        </is>
      </c>
      <c r="Q17" s="61" t="inlineStr">
        <is>
          <t>Map</t>
        </is>
      </c>
      <c r="R17" s="61" t="inlineStr">
        <is>
          <t>Raw data</t>
        </is>
      </c>
    </row>
    <row r="18" ht="42" customHeight="1">
      <c r="A18" s="59" t="inlineStr">
        <is>
          <t>32 Ardmore Rd</t>
        </is>
      </c>
      <c r="B18" s="60" t="n">
        <v>145</v>
      </c>
      <c r="C18" s="59" t="inlineStr">
        <is>
          <t>16 Silverwood Ave</t>
        </is>
      </c>
      <c r="D18" s="59" t="inlineStr">
        <is>
          <t>A0410/24TEY</t>
        </is>
      </c>
      <c r="E18" s="61" t="inlineStr">
        <is>
          <t>Request from CoA staff</t>
        </is>
      </c>
      <c r="F18" s="59" t="inlineStr">
        <is>
          <t>Minor variance</t>
        </is>
      </c>
      <c r="G18" s="59" t="inlineStr">
        <is>
          <t>New house</t>
        </is>
      </c>
      <c r="H18" s="59" t="n">
        <v>3</v>
      </c>
      <c r="I18" s="66" t="inlineStr">
        <is>
          <t>Refused</t>
        </is>
      </c>
      <c r="J18" s="59" t="inlineStr">
        <is>
          <t>Refused</t>
        </is>
      </c>
      <c r="K18" s="63" t="n">
        <v>45415</v>
      </c>
      <c r="L18" s="63" t="n">
        <v>45476</v>
      </c>
      <c r="M18" s="64" t="n">
        <v>9</v>
      </c>
      <c r="N18" s="59" t="n"/>
      <c r="O18" s="59" t="n"/>
      <c r="P18" s="65" t="inlineStr">
        <is>
          <t>To construct a new three-storey detached dwelling with an integral garage, a rear ground floor deck with stairs, and a rear third floor balcony.</t>
        </is>
      </c>
      <c r="Q18" s="61" t="inlineStr">
        <is>
          <t>Map</t>
        </is>
      </c>
      <c r="R18" s="61" t="inlineStr">
        <is>
          <t>Raw data</t>
        </is>
      </c>
    </row>
    <row r="19" ht="29" customHeight="1">
      <c r="A19" s="59" t="inlineStr">
        <is>
          <t>32 Ardmore Rd</t>
        </is>
      </c>
      <c r="B19" s="60" t="n">
        <v>145</v>
      </c>
      <c r="C19" s="59" t="inlineStr">
        <is>
          <t>16 Silverwood Ave</t>
        </is>
      </c>
      <c r="D19" s="59" t="inlineStr">
        <is>
          <t>A0662/24TEY</t>
        </is>
      </c>
      <c r="E19" s="61" t="inlineStr">
        <is>
          <t>Request from CoA staff</t>
        </is>
      </c>
      <c r="F19" s="59" t="inlineStr">
        <is>
          <t>Minor variance</t>
        </is>
      </c>
      <c r="G19" s="59" t="inlineStr">
        <is>
          <t>New house</t>
        </is>
      </c>
      <c r="H19" s="59" t="n">
        <v>3</v>
      </c>
      <c r="I19" s="62" t="inlineStr">
        <is>
          <t>Approved</t>
        </is>
      </c>
      <c r="J19" s="59" t="inlineStr">
        <is>
          <t>Approved</t>
        </is>
      </c>
      <c r="K19" s="63" t="n">
        <v>45503</v>
      </c>
      <c r="L19" s="63" t="n">
        <v>45560</v>
      </c>
      <c r="M19" s="64" t="n">
        <v>8</v>
      </c>
      <c r="N19" s="59" t="n"/>
      <c r="O19" s="59" t="n"/>
      <c r="P19" s="65" t="inlineStr">
        <is>
          <t>To construct a new three-storey detached dwelling with an integral garage, a rear ground floor deck with stairs, and a front driveway.</t>
        </is>
      </c>
      <c r="Q19" s="61" t="inlineStr">
        <is>
          <t>Map</t>
        </is>
      </c>
      <c r="R19" s="61" t="inlineStr">
        <is>
          <t>Raw data</t>
        </is>
      </c>
    </row>
    <row r="20" ht="68" customHeight="1">
      <c r="A20" s="59" t="inlineStr">
        <is>
          <t>32 Ardmore Rd</t>
        </is>
      </c>
      <c r="B20" s="60" t="n">
        <v>149</v>
      </c>
      <c r="C20" s="59" t="inlineStr">
        <is>
          <t>213 Rosemary Rd</t>
        </is>
      </c>
      <c r="D20" s="59" t="inlineStr">
        <is>
          <t>A0012/24TEY</t>
        </is>
      </c>
      <c r="E20" s="61" t="inlineStr">
        <is>
          <t>Request from CoA staff</t>
        </is>
      </c>
      <c r="F20" s="59" t="inlineStr">
        <is>
          <t>Minor variance</t>
        </is>
      </c>
      <c r="G20" s="59" t="inlineStr">
        <is>
          <t>New house</t>
        </is>
      </c>
      <c r="H20" s="59" t="n">
        <v>2.5</v>
      </c>
      <c r="I20" s="62" t="inlineStr">
        <is>
          <t>Approved</t>
        </is>
      </c>
      <c r="J20" s="59" t="inlineStr">
        <is>
          <t>Approved</t>
        </is>
      </c>
      <c r="K20" s="63" t="n">
        <v>45288</v>
      </c>
      <c r="L20" s="63" t="n">
        <v>45343</v>
      </c>
      <c r="M20" s="64" t="n">
        <v>8</v>
      </c>
      <c r="N20" s="59" t="n"/>
      <c r="O20" s="59" t="n"/>
      <c r="P20" s="65" t="inlineStr">
        <is>
          <t>To construct a new detached two-and-a-half storey dwelling including a front integral garage with canopy above, a first storey front bay window (cantilevered), a rear basement walkout, a cantilevered front second floor with roof deck above, and a rear second storey roof deck. The existing two-and-a-half storey dwelling will be demolished.</t>
        </is>
      </c>
      <c r="Q20" s="61" t="inlineStr">
        <is>
          <t>Map</t>
        </is>
      </c>
      <c r="R20" s="61" t="inlineStr">
        <is>
          <t>Raw data</t>
        </is>
      </c>
    </row>
    <row r="21" ht="42" customHeight="1">
      <c r="A21" s="59" t="inlineStr">
        <is>
          <t>32 Ardmore Rd</t>
        </is>
      </c>
      <c r="B21" s="60" t="n">
        <v>153</v>
      </c>
      <c r="C21" s="59" t="inlineStr">
        <is>
          <t>21 Elderwood Dr</t>
        </is>
      </c>
      <c r="D21" s="59" t="inlineStr">
        <is>
          <t>A0382/24TEY</t>
        </is>
      </c>
      <c r="E21" s="61" t="inlineStr">
        <is>
          <t>Request from CoA staff</t>
        </is>
      </c>
      <c r="F21" s="59" t="inlineStr">
        <is>
          <t>Minor variance</t>
        </is>
      </c>
      <c r="G21" s="59" t="inlineStr">
        <is>
          <t>New house</t>
        </is>
      </c>
      <c r="H21" s="59" t="n">
        <v>3</v>
      </c>
      <c r="I21" s="62" t="inlineStr">
        <is>
          <t>Approved</t>
        </is>
      </c>
      <c r="J21" s="59" t="inlineStr">
        <is>
          <t>Approved</t>
        </is>
      </c>
      <c r="K21" s="63" t="n">
        <v>45404</v>
      </c>
      <c r="L21" s="63" t="n">
        <v>45455</v>
      </c>
      <c r="M21" s="64" t="n">
        <v>7</v>
      </c>
      <c r="N21" s="59" t="n"/>
      <c r="O21" s="59" t="n"/>
      <c r="P21" s="65" t="inlineStr">
        <is>
          <t>To construct a new three-storey detached dwelling with an integral garage, a front covered porch, and rear ground floor covered and uncovered decks.</t>
        </is>
      </c>
      <c r="Q21" s="61" t="inlineStr">
        <is>
          <t>Map</t>
        </is>
      </c>
      <c r="R21" s="61" t="inlineStr">
        <is>
          <t>Raw data</t>
        </is>
      </c>
    </row>
    <row r="22" ht="29" customHeight="1">
      <c r="A22" s="59" t="inlineStr">
        <is>
          <t>32 Ardmore Rd</t>
        </is>
      </c>
      <c r="B22" s="60" t="n">
        <v>162</v>
      </c>
      <c r="C22" s="59" t="inlineStr">
        <is>
          <t>9 Silverwood Ave</t>
        </is>
      </c>
      <c r="D22" s="59" t="inlineStr">
        <is>
          <t>A0686/18TEY</t>
        </is>
      </c>
      <c r="E22" s="61" t="inlineStr">
        <is>
          <t>Request from CoA staff</t>
        </is>
      </c>
      <c r="F22" s="59" t="inlineStr">
        <is>
          <t>Minor variance</t>
        </is>
      </c>
      <c r="G22" s="59" t="inlineStr">
        <is>
          <t>Addition or alteration</t>
        </is>
      </c>
      <c r="H22" s="59" t="n"/>
      <c r="I22" s="62" t="inlineStr">
        <is>
          <t>Approved</t>
        </is>
      </c>
      <c r="J22" s="59" t="inlineStr">
        <is>
          <t>Approved</t>
        </is>
      </c>
      <c r="K22" s="63" t="n">
        <v>43293</v>
      </c>
      <c r="L22" s="63" t="n">
        <v>43446</v>
      </c>
      <c r="M22" s="64" t="n">
        <v>22</v>
      </c>
      <c r="N22" s="59" t="n"/>
      <c r="O22" s="59" t="n"/>
      <c r="P22" s="65" t="inlineStr">
        <is>
          <t>To alter the existing 2½-storey detached dwelling by constructing a two-storey rear addition.</t>
        </is>
      </c>
      <c r="Q22" s="61" t="inlineStr">
        <is>
          <t>Map</t>
        </is>
      </c>
      <c r="R22" s="61" t="inlineStr">
        <is>
          <t>Raw data</t>
        </is>
      </c>
    </row>
    <row r="23" ht="42" customHeight="1">
      <c r="A23" s="59" t="inlineStr">
        <is>
          <t>32 Ardmore Rd</t>
        </is>
      </c>
      <c r="B23" s="60" t="n">
        <v>165</v>
      </c>
      <c r="C23" s="59" t="inlineStr">
        <is>
          <t>108 Glenayr Rd</t>
        </is>
      </c>
      <c r="D23" s="59" t="inlineStr">
        <is>
          <t>A0270/22TEY</t>
        </is>
      </c>
      <c r="E23" s="61" t="inlineStr">
        <is>
          <t>Request from CoA staff</t>
        </is>
      </c>
      <c r="F23" s="59" t="inlineStr">
        <is>
          <t>Minor variance</t>
        </is>
      </c>
      <c r="G23" s="59" t="inlineStr">
        <is>
          <t>New house</t>
        </is>
      </c>
      <c r="H23" s="59" t="n">
        <v>3</v>
      </c>
      <c r="I23" s="62" t="inlineStr">
        <is>
          <t>Approved</t>
        </is>
      </c>
      <c r="J23" s="59" t="inlineStr">
        <is>
          <t>Approved</t>
        </is>
      </c>
      <c r="K23" s="63" t="n">
        <v>44622</v>
      </c>
      <c r="L23" s="63" t="n">
        <v>44720</v>
      </c>
      <c r="M23" s="64" t="n">
        <v>14</v>
      </c>
      <c r="N23" s="59" t="n"/>
      <c r="O23" s="59" t="n"/>
      <c r="P23" s="65" t="inlineStr">
        <is>
          <t>To construct a new three-storey detached dwelling with a rear first storey patio, a front first storey porch, and rear second and third storey balconies.</t>
        </is>
      </c>
      <c r="Q23" s="61" t="inlineStr">
        <is>
          <t>Map</t>
        </is>
      </c>
      <c r="R23" s="61" t="inlineStr">
        <is>
          <t>Raw data</t>
        </is>
      </c>
    </row>
    <row r="24" ht="16" customHeight="1">
      <c r="A24" s="59" t="inlineStr">
        <is>
          <t>32 Ardmore Rd</t>
        </is>
      </c>
      <c r="B24" s="60" t="n">
        <v>166</v>
      </c>
      <c r="C24" s="59" t="inlineStr">
        <is>
          <t>105 Glenayr Rd</t>
        </is>
      </c>
      <c r="D24" s="59" t="inlineStr">
        <is>
          <t>A1001/16TEY</t>
        </is>
      </c>
      <c r="E24" s="61" t="inlineStr">
        <is>
          <t>Request from CoA staff</t>
        </is>
      </c>
      <c r="F24" s="59" t="inlineStr">
        <is>
          <t>Minor variance</t>
        </is>
      </c>
      <c r="G24" s="59" t="inlineStr">
        <is>
          <t>New house</t>
        </is>
      </c>
      <c r="H24" s="59" t="n">
        <v>3</v>
      </c>
      <c r="I24" s="62" t="inlineStr">
        <is>
          <t>Approved</t>
        </is>
      </c>
      <c r="J24" s="59" t="inlineStr">
        <is>
          <t>Approved</t>
        </is>
      </c>
      <c r="K24" s="63" t="n">
        <v>42656</v>
      </c>
      <c r="L24" s="63" t="n">
        <v>42766</v>
      </c>
      <c r="M24" s="64" t="n">
        <v>16</v>
      </c>
      <c r="N24" s="59" t="n"/>
      <c r="O24" s="59" t="n"/>
      <c r="P24" s="65" t="inlineStr">
        <is>
          <t>To construct a new three-storey detached dwelling.</t>
        </is>
      </c>
      <c r="Q24" s="61" t="inlineStr">
        <is>
          <t>Map</t>
        </is>
      </c>
      <c r="R24" s="61" t="inlineStr">
        <is>
          <t>Raw data</t>
        </is>
      </c>
    </row>
    <row r="25" ht="29" customHeight="1">
      <c r="A25" s="59" t="inlineStr">
        <is>
          <t>32 Ardmore Rd</t>
        </is>
      </c>
      <c r="B25" s="60" t="n">
        <v>168</v>
      </c>
      <c r="C25" s="59" t="inlineStr">
        <is>
          <t>34 Hawarden Cres</t>
        </is>
      </c>
      <c r="D25" s="59" t="inlineStr">
        <is>
          <t>A0782/20TEY</t>
        </is>
      </c>
      <c r="E25" s="61" t="inlineStr">
        <is>
          <t>Request from CoA staff</t>
        </is>
      </c>
      <c r="F25" s="59" t="inlineStr">
        <is>
          <t>Minor variance</t>
        </is>
      </c>
      <c r="G25" s="59" t="inlineStr">
        <is>
          <t>Pool, deck or exterior</t>
        </is>
      </c>
      <c r="H25" s="59" t="n"/>
      <c r="I25" s="62" t="inlineStr">
        <is>
          <t>Approved</t>
        </is>
      </c>
      <c r="J25" s="59" t="inlineStr">
        <is>
          <t>Approved</t>
        </is>
      </c>
      <c r="K25" s="63" t="n">
        <v>44085</v>
      </c>
      <c r="L25" s="63" t="n">
        <v>44167</v>
      </c>
      <c r="M25" s="64" t="n">
        <v>12</v>
      </c>
      <c r="N25" s="59" t="n"/>
      <c r="O25" s="59" t="n"/>
      <c r="P25" s="65" t="inlineStr">
        <is>
          <t>To construct an outdoor swimming pool in the front yard of the detached two-storey dwelling, located on a corner lot.</t>
        </is>
      </c>
      <c r="Q25" s="61" t="inlineStr">
        <is>
          <t>Map</t>
        </is>
      </c>
      <c r="R25" s="61" t="inlineStr">
        <is>
          <t>Raw data</t>
        </is>
      </c>
    </row>
    <row r="26" ht="29" customHeight="1">
      <c r="A26" s="59" t="inlineStr">
        <is>
          <t>32 Ardmore Rd</t>
        </is>
      </c>
      <c r="B26" s="60" t="n">
        <v>178</v>
      </c>
      <c r="C26" s="59" t="inlineStr">
        <is>
          <t>106 Glenayr Rd</t>
        </is>
      </c>
      <c r="D26" s="59" t="inlineStr">
        <is>
          <t>A0074/21TEY</t>
        </is>
      </c>
      <c r="E26" s="61" t="inlineStr">
        <is>
          <t>Request from CoA staff</t>
        </is>
      </c>
      <c r="F26" s="59" t="inlineStr">
        <is>
          <t>Minor variance</t>
        </is>
      </c>
      <c r="G26" s="59" t="inlineStr">
        <is>
          <t>New house</t>
        </is>
      </c>
      <c r="H26" s="59" t="n">
        <v>3</v>
      </c>
      <c r="I26" s="62" t="inlineStr">
        <is>
          <t>Approved</t>
        </is>
      </c>
      <c r="J26" s="59" t="inlineStr">
        <is>
          <t>Approved</t>
        </is>
      </c>
      <c r="K26" s="63" t="n">
        <v>44217</v>
      </c>
      <c r="L26" s="63" t="n">
        <v>44349</v>
      </c>
      <c r="M26" s="64" t="n">
        <v>19</v>
      </c>
      <c r="N26" s="59" t="n"/>
      <c r="O26" s="59" t="n"/>
      <c r="P26" s="65" t="inlineStr">
        <is>
          <t>To construct a new three-storey detached dwelling with an integral garage, rear basement walkout, rear deck and a front porch.</t>
        </is>
      </c>
      <c r="Q26" s="61" t="inlineStr">
        <is>
          <t>Map</t>
        </is>
      </c>
      <c r="R26" s="61" t="inlineStr">
        <is>
          <t>Raw data</t>
        </is>
      </c>
    </row>
    <row r="27" ht="29" customHeight="1">
      <c r="A27" s="59" t="inlineStr">
        <is>
          <t>32 Ardmore Rd</t>
        </is>
      </c>
      <c r="B27" s="60" t="n">
        <v>180</v>
      </c>
      <c r="C27" s="59" t="inlineStr">
        <is>
          <t>200 Rosemary Rd</t>
        </is>
      </c>
      <c r="D27" s="59" t="inlineStr">
        <is>
          <t>A1151/20TEY</t>
        </is>
      </c>
      <c r="E27" s="61" t="inlineStr">
        <is>
          <t>Request from CoA staff</t>
        </is>
      </c>
      <c r="F27" s="59" t="inlineStr">
        <is>
          <t>Minor variance</t>
        </is>
      </c>
      <c r="G27" s="59" t="inlineStr">
        <is>
          <t>Pool, deck or exterior</t>
        </is>
      </c>
      <c r="H27" s="59" t="n"/>
      <c r="I27" s="62" t="inlineStr">
        <is>
          <t>Approved</t>
        </is>
      </c>
      <c r="J27" s="59" t="inlineStr">
        <is>
          <t>Approved</t>
        </is>
      </c>
      <c r="K27" s="63" t="n">
        <v>44175</v>
      </c>
      <c r="L27" s="63" t="n">
        <v>44334</v>
      </c>
      <c r="M27" s="64" t="n">
        <v>23</v>
      </c>
      <c r="N27" s="59" t="n"/>
      <c r="O27" s="59" t="n"/>
      <c r="P27" s="65" t="inlineStr">
        <is>
          <t>To construct an outdoor swimming pool in the rear yard of the existing three-storey detached house.</t>
        </is>
      </c>
      <c r="Q27" s="61" t="inlineStr">
        <is>
          <t>Map</t>
        </is>
      </c>
      <c r="R27" s="61" t="inlineStr">
        <is>
          <t>Raw data</t>
        </is>
      </c>
    </row>
    <row r="28" ht="29" customHeight="1">
      <c r="A28" s="59" t="inlineStr">
        <is>
          <t>32 Ardmore Rd</t>
        </is>
      </c>
      <c r="B28" s="60" t="n">
        <v>182</v>
      </c>
      <c r="C28" s="59" t="inlineStr">
        <is>
          <t>32 Hawarden Cres</t>
        </is>
      </c>
      <c r="D28" s="59" t="inlineStr">
        <is>
          <t>A1016/17TEY</t>
        </is>
      </c>
      <c r="E28" s="61" t="inlineStr">
        <is>
          <t>Request from CoA staff</t>
        </is>
      </c>
      <c r="F28" s="59" t="inlineStr">
        <is>
          <t>Minor variance</t>
        </is>
      </c>
      <c r="G28" s="59" t="inlineStr">
        <is>
          <t>Addition or alteration</t>
        </is>
      </c>
      <c r="H28" s="59" t="n"/>
      <c r="I28" s="62" t="inlineStr">
        <is>
          <t>Approved</t>
        </is>
      </c>
      <c r="J28" s="59" t="inlineStr">
        <is>
          <t>Approved</t>
        </is>
      </c>
      <c r="K28" s="63" t="n">
        <v>42999</v>
      </c>
      <c r="L28" s="63" t="n">
        <v>43159</v>
      </c>
      <c r="M28" s="64" t="n">
        <v>23</v>
      </c>
      <c r="N28" s="59" t="n"/>
      <c r="O28" s="59" t="n"/>
      <c r="P28" s="65" t="inlineStr">
        <is>
          <t>To alter the three-storey detached dwelling by constructing a one-storey east side addition and dormers on the second floor.</t>
        </is>
      </c>
      <c r="Q28" s="61" t="inlineStr">
        <is>
          <t>Map</t>
        </is>
      </c>
      <c r="R28" s="61" t="inlineStr">
        <is>
          <t>Raw data</t>
        </is>
      </c>
    </row>
    <row r="29" ht="55" customHeight="1">
      <c r="A29" s="59" t="inlineStr">
        <is>
          <t>32 Ardmore Rd</t>
        </is>
      </c>
      <c r="B29" s="60" t="n">
        <v>184</v>
      </c>
      <c r="C29" s="59" t="inlineStr">
        <is>
          <t>206 Rosemary Rd</t>
        </is>
      </c>
      <c r="D29" s="59" t="inlineStr">
        <is>
          <t>A0598/22TEY</t>
        </is>
      </c>
      <c r="E29" s="61" t="inlineStr">
        <is>
          <t>Request from CoA staff</t>
        </is>
      </c>
      <c r="F29" s="59" t="inlineStr">
        <is>
          <t>Minor variance</t>
        </is>
      </c>
      <c r="G29" s="59" t="inlineStr">
        <is>
          <t>New house</t>
        </is>
      </c>
      <c r="H29" s="59" t="n">
        <v>3</v>
      </c>
      <c r="I29" s="62" t="inlineStr">
        <is>
          <t>Approved</t>
        </is>
      </c>
      <c r="J29" s="59" t="inlineStr">
        <is>
          <t>Approved</t>
        </is>
      </c>
      <c r="K29" s="63" t="n">
        <v>44687</v>
      </c>
      <c r="L29" s="63" t="n">
        <v>44804</v>
      </c>
      <c r="M29" s="64" t="n">
        <v>17</v>
      </c>
      <c r="N29" s="59" t="n"/>
      <c r="O29" s="59" t="n"/>
      <c r="P29" s="65" t="inlineStr">
        <is>
          <t>To construct a three-storey detached dwelling with a front integral garage, rear balconies on the second and third storeys, and a rear covered terrace on the ground level. The existing shed and pool will be maintained.</t>
        </is>
      </c>
      <c r="Q29" s="61" t="inlineStr">
        <is>
          <t>Map</t>
        </is>
      </c>
      <c r="R29" s="61" t="inlineStr">
        <is>
          <t>Raw data</t>
        </is>
      </c>
    </row>
    <row r="30" ht="29" customHeight="1">
      <c r="A30" s="59" t="inlineStr">
        <is>
          <t>32 Ardmore Rd</t>
        </is>
      </c>
      <c r="B30" s="60" t="n">
        <v>187</v>
      </c>
      <c r="C30" s="59" t="inlineStr">
        <is>
          <t>20 Elderwood Dr</t>
        </is>
      </c>
      <c r="D30" s="59" t="inlineStr">
        <is>
          <t>A0998/17TEY</t>
        </is>
      </c>
      <c r="E30" s="61" t="inlineStr">
        <is>
          <t>Request from CoA staff</t>
        </is>
      </c>
      <c r="F30" s="59" t="inlineStr">
        <is>
          <t>Minor variance</t>
        </is>
      </c>
      <c r="G30" s="59" t="inlineStr">
        <is>
          <t>New house</t>
        </is>
      </c>
      <c r="H30" s="59" t="n">
        <v>2</v>
      </c>
      <c r="I30" s="62" t="inlineStr">
        <is>
          <t>Approved</t>
        </is>
      </c>
      <c r="J30" s="59" t="inlineStr">
        <is>
          <t>Approved</t>
        </is>
      </c>
      <c r="K30" s="63" t="n">
        <v>42992</v>
      </c>
      <c r="L30" s="63" t="n">
        <v>43159</v>
      </c>
      <c r="M30" s="64" t="n">
        <v>24</v>
      </c>
      <c r="N30" s="59" t="n"/>
      <c r="O30" s="59" t="n"/>
      <c r="P30" s="65" t="inlineStr">
        <is>
          <t>To construct a new two-storey detached dwelling with an integral garage and rear ground floor terrace.</t>
        </is>
      </c>
      <c r="Q30" s="61" t="inlineStr">
        <is>
          <t>Map</t>
        </is>
      </c>
      <c r="R30" s="61" t="inlineStr">
        <is>
          <t>Raw data</t>
        </is>
      </c>
    </row>
    <row r="31" ht="94" customHeight="1">
      <c r="A31" s="59" t="inlineStr">
        <is>
          <t>32 Ardmore Rd</t>
        </is>
      </c>
      <c r="B31" s="60" t="n">
        <v>191</v>
      </c>
      <c r="C31" s="59" t="inlineStr">
        <is>
          <t>210 Rosemary Rd</t>
        </is>
      </c>
      <c r="D31" s="59" t="inlineStr">
        <is>
          <t>A0568/26TEY</t>
        </is>
      </c>
      <c r="E31" s="61" t="inlineStr">
        <is>
          <t>Open on City site</t>
        </is>
      </c>
      <c r="F31" s="59" t="inlineStr">
        <is>
          <t>Minor variance</t>
        </is>
      </c>
      <c r="G31" s="59" t="inlineStr">
        <is>
          <t>New house</t>
        </is>
      </c>
      <c r="H31" s="59" t="n">
        <v>3</v>
      </c>
      <c r="I31" s="67" t="inlineStr">
        <is>
          <t>Awaiting hearing</t>
        </is>
      </c>
      <c r="J31" s="59" t="inlineStr">
        <is>
          <t>Awaiting hearing</t>
        </is>
      </c>
      <c r="K31" s="63" t="n">
        <v>46232</v>
      </c>
      <c r="L31" s="63" t="n"/>
      <c r="M31" s="64" t="n"/>
      <c r="N31" s="59" t="n"/>
      <c r="O31" s="59" t="n"/>
      <c r="P31" s="65" t="inlineStr">
        <is>
          <t>To construct a new three-storey detached dwelling (including a third storey loft) with a front integral three-car garage, a covered front second floor porch with stairs and a landing, a front third storey platform (not accessible), a rear ground floor walkout, a rear second floor deck with stairs, a side (south) ground floor entrance, a rear third storey dormer with a balcony, a side (south) third storey dormer and a side (north) third storey dormer.</t>
        </is>
      </c>
      <c r="Q31" s="61" t="inlineStr">
        <is>
          <t>Map</t>
        </is>
      </c>
      <c r="R31" s="61" t="inlineStr">
        <is>
          <t>Raw data</t>
        </is>
      </c>
    </row>
    <row r="32" ht="42" customHeight="1">
      <c r="A32" s="59" t="inlineStr">
        <is>
          <t>32 Ardmore Rd</t>
        </is>
      </c>
      <c r="B32" s="60" t="n">
        <v>194</v>
      </c>
      <c r="C32" s="59" t="inlineStr">
        <is>
          <t>300 Glenayr Rd</t>
        </is>
      </c>
      <c r="D32" s="59" t="inlineStr">
        <is>
          <t>A0473/26TEY</t>
        </is>
      </c>
      <c r="E32" s="61" t="inlineStr">
        <is>
          <t>Open on City site</t>
        </is>
      </c>
      <c r="F32" s="59" t="inlineStr">
        <is>
          <t>Minor variance</t>
        </is>
      </c>
      <c r="G32" s="59" t="inlineStr">
        <is>
          <t>Pool, deck or exterior</t>
        </is>
      </c>
      <c r="H32" s="59" t="n"/>
      <c r="I32" s="62" t="inlineStr">
        <is>
          <t>Approved</t>
        </is>
      </c>
      <c r="J32" s="59" t="inlineStr">
        <is>
          <t>Approved</t>
        </is>
      </c>
      <c r="K32" s="63" t="n">
        <v>46195</v>
      </c>
      <c r="L32" s="63" t="n">
        <v>46274</v>
      </c>
      <c r="M32" s="64" t="n">
        <v>11</v>
      </c>
      <c r="N32" s="59" t="n"/>
      <c r="O32" s="59" t="n"/>
      <c r="P32" s="65" t="inlineStr">
        <is>
          <t>To install a concrete pad and walkway (amenity space) in the front (south) yard, abutting Elderwood Drive. The existing two-storey detached dwelling will be maintained and unaltered.</t>
        </is>
      </c>
      <c r="Q32" s="61" t="inlineStr">
        <is>
          <t>Map</t>
        </is>
      </c>
      <c r="R32" s="61" t="inlineStr">
        <is>
          <t>Raw data</t>
        </is>
      </c>
    </row>
    <row r="33" ht="81" customHeight="1">
      <c r="A33" s="59" t="inlineStr">
        <is>
          <t>32 Ardmore Rd</t>
        </is>
      </c>
      <c r="B33" s="60" t="n">
        <v>196</v>
      </c>
      <c r="C33" s="59" t="inlineStr">
        <is>
          <t>212 Rosemary Rd</t>
        </is>
      </c>
      <c r="D33" s="59" t="inlineStr">
        <is>
          <t>A0044/26TEY</t>
        </is>
      </c>
      <c r="E33" s="61" t="inlineStr">
        <is>
          <t>Request from CoA staff</t>
        </is>
      </c>
      <c r="F33" s="59" t="inlineStr">
        <is>
          <t>Minor variance</t>
        </is>
      </c>
      <c r="G33" s="59" t="inlineStr">
        <is>
          <t>New house</t>
        </is>
      </c>
      <c r="H33" s="59" t="n">
        <v>3</v>
      </c>
      <c r="I33" s="62" t="inlineStr">
        <is>
          <t>Approved</t>
        </is>
      </c>
      <c r="J33" s="59" t="inlineStr">
        <is>
          <t>Approved</t>
        </is>
      </c>
      <c r="K33" s="63" t="n">
        <v>46038</v>
      </c>
      <c r="L33" s="63" t="n">
        <v>46099</v>
      </c>
      <c r="M33" s="64" t="n">
        <v>9</v>
      </c>
      <c r="N33" s="59" t="n"/>
      <c r="O33" s="59" t="n"/>
      <c r="P33" s="65" t="inlineStr">
        <is>
          <t>To construct a new three-storey detached dwelling with an integral garage and a widened driveway, a covered front porch with stairs, a rear third storey balcony, and a rear partially covered ground floor patio. Also, to construct a new inground swimming pool in the rear yard. The existing rear inground swimming pool and concrete pad will be removed.</t>
        </is>
      </c>
      <c r="Q33" s="61" t="inlineStr">
        <is>
          <t>Map</t>
        </is>
      </c>
      <c r="R33" s="61" t="inlineStr">
        <is>
          <t>Raw data</t>
        </is>
      </c>
    </row>
    <row r="34" ht="29" customHeight="1">
      <c r="A34" s="59" t="inlineStr">
        <is>
          <t>32 Ardmore Rd</t>
        </is>
      </c>
      <c r="B34" s="60" t="n">
        <v>204</v>
      </c>
      <c r="C34" s="59" t="inlineStr">
        <is>
          <t>6 Ardmore Rd</t>
        </is>
      </c>
      <c r="D34" s="59" t="inlineStr">
        <is>
          <t>A1221/18TEY</t>
        </is>
      </c>
      <c r="E34" s="61" t="inlineStr">
        <is>
          <t>Request from CoA staff</t>
        </is>
      </c>
      <c r="F34" s="59" t="inlineStr">
        <is>
          <t>Minor variance</t>
        </is>
      </c>
      <c r="G34" s="59" t="inlineStr">
        <is>
          <t>New house</t>
        </is>
      </c>
      <c r="H34" s="59" t="n">
        <v>2</v>
      </c>
      <c r="I34" s="62" t="inlineStr">
        <is>
          <t>Approved</t>
        </is>
      </c>
      <c r="J34" s="59" t="inlineStr">
        <is>
          <t>Approved</t>
        </is>
      </c>
      <c r="K34" s="63" t="n">
        <v>43461</v>
      </c>
      <c r="L34" s="63" t="n">
        <v>43544</v>
      </c>
      <c r="M34" s="64" t="n">
        <v>12</v>
      </c>
      <c r="N34" s="59" t="n"/>
      <c r="O34" s="59" t="n"/>
      <c r="P34" s="65" t="inlineStr">
        <is>
          <t>To construct a new two-storey detached dwelling with a two-car basement garage.</t>
        </is>
      </c>
      <c r="Q34" s="61" t="inlineStr">
        <is>
          <t>Map</t>
        </is>
      </c>
      <c r="R34" s="61" t="inlineStr">
        <is>
          <t>Raw data</t>
        </is>
      </c>
    </row>
    <row r="35" ht="42" customHeight="1">
      <c r="A35" s="59" t="inlineStr">
        <is>
          <t>32 Ardmore Rd</t>
        </is>
      </c>
      <c r="B35" s="60" t="n">
        <v>214</v>
      </c>
      <c r="C35" s="59" t="inlineStr">
        <is>
          <t>180 Rosemary Rd</t>
        </is>
      </c>
      <c r="D35" s="59" t="inlineStr">
        <is>
          <t>A0508/19TEY</t>
        </is>
      </c>
      <c r="E35" s="61" t="inlineStr">
        <is>
          <t>Request from CoA staff</t>
        </is>
      </c>
      <c r="F35" s="59" t="inlineStr">
        <is>
          <t>Minor variance</t>
        </is>
      </c>
      <c r="G35" s="59" t="inlineStr">
        <is>
          <t>Addition or alteration</t>
        </is>
      </c>
      <c r="H35" s="59" t="n"/>
      <c r="I35" s="62" t="inlineStr">
        <is>
          <t>Approved</t>
        </is>
      </c>
      <c r="J35" s="59" t="inlineStr">
        <is>
          <t>Approved</t>
        </is>
      </c>
      <c r="K35" s="63" t="n">
        <v>43593</v>
      </c>
      <c r="L35" s="63" t="n">
        <v>43691</v>
      </c>
      <c r="M35" s="64" t="n">
        <v>14</v>
      </c>
      <c r="N35" s="59" t="n"/>
      <c r="O35" s="59" t="n"/>
      <c r="P35" s="65" t="inlineStr">
        <is>
          <t>To alter the existing two-storey detached dwelling by constructing a rear two-storey addition with a two-storey canopy over the rear ground floor deck.</t>
        </is>
      </c>
      <c r="Q35" s="61" t="inlineStr">
        <is>
          <t>Map</t>
        </is>
      </c>
      <c r="R35" s="61" t="inlineStr">
        <is>
          <t>Raw data</t>
        </is>
      </c>
    </row>
    <row r="36" ht="29" customHeight="1">
      <c r="A36" s="59" t="inlineStr">
        <is>
          <t>32 Ardmore Rd</t>
        </is>
      </c>
      <c r="B36" s="60" t="n">
        <v>221</v>
      </c>
      <c r="C36" s="59" t="inlineStr">
        <is>
          <t>18 Burton Rd</t>
        </is>
      </c>
      <c r="D36" s="59" t="inlineStr">
        <is>
          <t>A0591/16TEY</t>
        </is>
      </c>
      <c r="E36" s="61" t="inlineStr">
        <is>
          <t>Request from CoA staff</t>
        </is>
      </c>
      <c r="F36" s="59" t="inlineStr">
        <is>
          <t>Minor variance</t>
        </is>
      </c>
      <c r="G36" s="59" t="inlineStr">
        <is>
          <t>New house</t>
        </is>
      </c>
      <c r="H36" s="59" t="n">
        <v>3</v>
      </c>
      <c r="I36" s="62" t="inlineStr">
        <is>
          <t>Approved</t>
        </is>
      </c>
      <c r="J36" s="59" t="inlineStr">
        <is>
          <t>Approved</t>
        </is>
      </c>
      <c r="K36" s="63" t="n">
        <v>42517</v>
      </c>
      <c r="L36" s="63" t="n">
        <v>42746</v>
      </c>
      <c r="M36" s="64" t="n">
        <v>33</v>
      </c>
      <c r="N36" s="59" t="n"/>
      <c r="O36" s="59" t="n"/>
      <c r="P36" s="65" t="inlineStr">
        <is>
          <t>To construct a new three-storey detached dwelling with an integral garage.</t>
        </is>
      </c>
      <c r="Q36" s="61" t="inlineStr">
        <is>
          <t>Map</t>
        </is>
      </c>
      <c r="R36" s="61" t="inlineStr">
        <is>
          <t>Raw data</t>
        </is>
      </c>
    </row>
    <row r="37" ht="29" customHeight="1">
      <c r="A37" s="59" t="inlineStr">
        <is>
          <t>32 Ardmore Rd</t>
        </is>
      </c>
      <c r="B37" s="60" t="n">
        <v>221</v>
      </c>
      <c r="C37" s="59" t="inlineStr">
        <is>
          <t>18 Burton Rd</t>
        </is>
      </c>
      <c r="D37" s="59" t="inlineStr">
        <is>
          <t>A0793/18TEY</t>
        </is>
      </c>
      <c r="E37" s="61" t="inlineStr">
        <is>
          <t>Request from CoA staff</t>
        </is>
      </c>
      <c r="F37" s="59" t="inlineStr">
        <is>
          <t>Minor variance</t>
        </is>
      </c>
      <c r="G37" s="59" t="inlineStr">
        <is>
          <t>New house</t>
        </is>
      </c>
      <c r="H37" s="59" t="n">
        <v>3</v>
      </c>
      <c r="I37" s="62" t="inlineStr">
        <is>
          <t>Approved</t>
        </is>
      </c>
      <c r="J37" s="59" t="inlineStr">
        <is>
          <t>Approved</t>
        </is>
      </c>
      <c r="K37" s="63" t="n">
        <v>43328</v>
      </c>
      <c r="L37" s="63" t="n">
        <v>43488</v>
      </c>
      <c r="M37" s="64" t="n">
        <v>23</v>
      </c>
      <c r="N37" s="59" t="n"/>
      <c r="O37" s="59" t="n"/>
      <c r="P37" s="65" t="inlineStr">
        <is>
          <t>To alter construction of a new three-storey detached dwelling, under building permit 17-162496, by constructing a front basement extension.</t>
        </is>
      </c>
      <c r="Q37" s="61" t="inlineStr">
        <is>
          <t>Map</t>
        </is>
      </c>
      <c r="R37" s="61" t="inlineStr">
        <is>
          <t>Raw data</t>
        </is>
      </c>
    </row>
    <row r="38" ht="29" customHeight="1">
      <c r="A38" s="59" t="inlineStr">
        <is>
          <t>32 Ardmore Rd</t>
        </is>
      </c>
      <c r="B38" s="60" t="n">
        <v>223</v>
      </c>
      <c r="C38" s="59" t="inlineStr">
        <is>
          <t>1 Silverwood Ave</t>
        </is>
      </c>
      <c r="D38" s="59" t="inlineStr">
        <is>
          <t>A0198/24TEY</t>
        </is>
      </c>
      <c r="E38" s="61" t="inlineStr">
        <is>
          <t>Request from CoA staff</t>
        </is>
      </c>
      <c r="F38" s="59" t="inlineStr">
        <is>
          <t>Minor variance</t>
        </is>
      </c>
      <c r="G38" s="59" t="inlineStr">
        <is>
          <t>Pool, deck or exterior</t>
        </is>
      </c>
      <c r="H38" s="59" t="n"/>
      <c r="I38" s="62" t="inlineStr">
        <is>
          <t>Approved</t>
        </is>
      </c>
      <c r="J38" s="59" t="inlineStr">
        <is>
          <t>Approved</t>
        </is>
      </c>
      <c r="K38" s="63" t="n">
        <v>45344</v>
      </c>
      <c r="L38" s="63" t="n">
        <v>45406</v>
      </c>
      <c r="M38" s="64" t="n">
        <v>9</v>
      </c>
      <c r="N38" s="59" t="n"/>
      <c r="O38" s="59" t="n"/>
      <c r="P38" s="65" t="inlineStr">
        <is>
          <t>To permit a rear second storey balcony, which is currently under construction.</t>
        </is>
      </c>
      <c r="Q38" s="61" t="inlineStr">
        <is>
          <t>Map</t>
        </is>
      </c>
      <c r="R38" s="61" t="inlineStr">
        <is>
          <t>Raw data</t>
        </is>
      </c>
    </row>
    <row r="39" ht="29" customHeight="1">
      <c r="A39" s="59" t="inlineStr">
        <is>
          <t>32 Ardmore Rd</t>
        </is>
      </c>
      <c r="B39" s="60" t="n">
        <v>227</v>
      </c>
      <c r="C39" s="59" t="inlineStr">
        <is>
          <t>21 Robinwood Ave</t>
        </is>
      </c>
      <c r="D39" s="59" t="inlineStr">
        <is>
          <t>A0030/20TEY</t>
        </is>
      </c>
      <c r="E39" s="61" t="inlineStr">
        <is>
          <t>Request from CoA staff</t>
        </is>
      </c>
      <c r="F39" s="59" t="inlineStr">
        <is>
          <t>Minor variance</t>
        </is>
      </c>
      <c r="G39" s="59" t="inlineStr">
        <is>
          <t>Addition or alteration</t>
        </is>
      </c>
      <c r="H39" s="59" t="n"/>
      <c r="I39" s="62" t="inlineStr">
        <is>
          <t>Approved</t>
        </is>
      </c>
      <c r="J39" s="59" t="inlineStr">
        <is>
          <t>Approved</t>
        </is>
      </c>
      <c r="K39" s="63" t="n">
        <v>43843</v>
      </c>
      <c r="L39" s="63" t="n">
        <v>44027</v>
      </c>
      <c r="M39" s="64" t="n">
        <v>26</v>
      </c>
      <c r="N39" s="59" t="n"/>
      <c r="O39" s="59" t="n"/>
      <c r="P39" s="65" t="inlineStr">
        <is>
          <t>To alter a 2 ½ storey detached dwelling by constructing a rear one-storey addition with a roof terrace above.</t>
        </is>
      </c>
      <c r="Q39" s="61" t="inlineStr">
        <is>
          <t>Map</t>
        </is>
      </c>
      <c r="R39" s="61" t="inlineStr">
        <is>
          <t>Raw data</t>
        </is>
      </c>
    </row>
    <row r="40" ht="94" customHeight="1">
      <c r="A40" s="59" t="inlineStr">
        <is>
          <t>32 Ardmore Rd</t>
        </is>
      </c>
      <c r="B40" s="60" t="n">
        <v>238</v>
      </c>
      <c r="C40" s="59" t="inlineStr">
        <is>
          <t>2 Silverwood Ave</t>
        </is>
      </c>
      <c r="D40" s="59" t="inlineStr">
        <is>
          <t>A0308/26TEY</t>
        </is>
      </c>
      <c r="E40" s="61" t="inlineStr">
        <is>
          <t>Open on City site</t>
        </is>
      </c>
      <c r="F40" s="59" t="inlineStr">
        <is>
          <t>Minor variance</t>
        </is>
      </c>
      <c r="G40" s="59" t="inlineStr">
        <is>
          <t>New house</t>
        </is>
      </c>
      <c r="H40" s="59" t="n">
        <v>3</v>
      </c>
      <c r="I40" s="62" t="inlineStr">
        <is>
          <t>Approved</t>
        </is>
      </c>
      <c r="J40" s="59" t="inlineStr">
        <is>
          <t>Approved</t>
        </is>
      </c>
      <c r="K40" s="63" t="n">
        <v>46134</v>
      </c>
      <c r="L40" s="63" t="n">
        <v>46183</v>
      </c>
      <c r="M40" s="64" t="n">
        <v>7</v>
      </c>
      <c r="N40" s="59" t="n"/>
      <c r="O40" s="59" t="n"/>
      <c r="P40" s="65" t="inlineStr">
        <is>
          <t>To construct a new three-storey detached dwelling (more than 50% of the existing exterior walls of the dwelling will be removed) with an integral garage (accessed from Silverwood Avenue), a front (south) covered porch with stairs, a rear (north) ground floor deck platform with canopy above, a rear third floor balcony and a modified L-shaped driveway (reduced width from the existing oversized driveway accessed from Spadina Road and Silverwood Avenue).</t>
        </is>
      </c>
      <c r="Q40" s="61" t="inlineStr">
        <is>
          <t>Map</t>
        </is>
      </c>
      <c r="R40" s="61" t="inlineStr">
        <is>
          <t>Raw data</t>
        </is>
      </c>
    </row>
    <row r="41" ht="55" customHeight="1">
      <c r="A41" s="59" t="inlineStr">
        <is>
          <t>32 Ardmore Rd</t>
        </is>
      </c>
      <c r="B41" s="60" t="n">
        <v>239</v>
      </c>
      <c r="C41" s="59" t="inlineStr">
        <is>
          <t>305 Rosemary Rd</t>
        </is>
      </c>
      <c r="D41" s="59" t="inlineStr">
        <is>
          <t>A0769/19TEY</t>
        </is>
      </c>
      <c r="E41" s="61" t="inlineStr">
        <is>
          <t>Request from CoA staff</t>
        </is>
      </c>
      <c r="F41" s="59" t="inlineStr">
        <is>
          <t>Minor variance</t>
        </is>
      </c>
      <c r="G41" s="59" t="inlineStr">
        <is>
          <t>Addition or alteration</t>
        </is>
      </c>
      <c r="H41" s="59" t="n"/>
      <c r="I41" s="62" t="inlineStr">
        <is>
          <t>Approved</t>
        </is>
      </c>
      <c r="J41" s="59" t="inlineStr">
        <is>
          <t>Approved</t>
        </is>
      </c>
      <c r="K41" s="63" t="n">
        <v>43661</v>
      </c>
      <c r="L41" s="63" t="n">
        <v>43775</v>
      </c>
      <c r="M41" s="64" t="n">
        <v>16</v>
      </c>
      <c r="N41" s="59" t="n"/>
      <c r="O41" s="59" t="n"/>
      <c r="P41" s="65" t="inlineStr">
        <is>
          <t>To alter the existing two-storey detached dwelling by reconstructing the front porch, and constructing a front two-storey addition, a south side two-storey addition at the rear to accommodate an elevator and a south side second storey addition over the attached garage.</t>
        </is>
      </c>
      <c r="Q41" s="61" t="inlineStr">
        <is>
          <t>Map</t>
        </is>
      </c>
      <c r="R41" s="61" t="inlineStr">
        <is>
          <t>Raw data</t>
        </is>
      </c>
    </row>
    <row r="42" ht="29" customHeight="1">
      <c r="A42" s="59" t="inlineStr">
        <is>
          <t>32 Ardmore Rd</t>
        </is>
      </c>
      <c r="B42" s="60" t="n">
        <v>245</v>
      </c>
      <c r="C42" s="59" t="inlineStr">
        <is>
          <t>35 Hawarden Cres</t>
        </is>
      </c>
      <c r="D42" s="59" t="inlineStr">
        <is>
          <t>A0766/23TEY</t>
        </is>
      </c>
      <c r="E42" s="61" t="inlineStr">
        <is>
          <t>Request from CoA staff</t>
        </is>
      </c>
      <c r="F42" s="59" t="inlineStr">
        <is>
          <t>Minor variance</t>
        </is>
      </c>
      <c r="G42" s="59" t="inlineStr">
        <is>
          <t>New house</t>
        </is>
      </c>
      <c r="H42" s="59" t="n">
        <v>2</v>
      </c>
      <c r="I42" s="68" t="inlineStr">
        <is>
          <t>Not decided</t>
        </is>
      </c>
      <c r="J42" s="59" t="inlineStr">
        <is>
          <t>Deferred</t>
        </is>
      </c>
      <c r="K42" s="63" t="n">
        <v>45174</v>
      </c>
      <c r="L42" s="63" t="n"/>
      <c r="M42" s="64" t="n"/>
      <c r="N42" s="59" t="n"/>
      <c r="O42" s="59" t="n"/>
      <c r="P42" s="65" t="inlineStr">
        <is>
          <t>To construct a new two-storey detached dwelling with a front porch, an integral basement garage, and a rear ground floor deck with stairs.</t>
        </is>
      </c>
      <c r="Q42" s="61" t="inlineStr">
        <is>
          <t>Map</t>
        </is>
      </c>
      <c r="R42" s="61" t="inlineStr">
        <is>
          <t>Raw data</t>
        </is>
      </c>
    </row>
    <row r="43" ht="16" customHeight="1">
      <c r="A43" s="59" t="inlineStr">
        <is>
          <t>32 Ardmore Rd</t>
        </is>
      </c>
      <c r="B43" s="60" t="n">
        <v>245</v>
      </c>
      <c r="C43" s="59" t="inlineStr">
        <is>
          <t>35 Hawarden Cres</t>
        </is>
      </c>
      <c r="D43" s="59" t="inlineStr">
        <is>
          <t>A0879/20TEY</t>
        </is>
      </c>
      <c r="E43" s="61" t="inlineStr">
        <is>
          <t>Request from CoA staff</t>
        </is>
      </c>
      <c r="F43" s="59" t="inlineStr">
        <is>
          <t>Minor variance</t>
        </is>
      </c>
      <c r="G43" s="59" t="inlineStr">
        <is>
          <t>Addition or alteration</t>
        </is>
      </c>
      <c r="H43" s="59" t="n"/>
      <c r="I43" s="68" t="inlineStr">
        <is>
          <t>Not decided</t>
        </is>
      </c>
      <c r="J43" s="59" t="inlineStr">
        <is>
          <t>Closed, no decision recorded</t>
        </is>
      </c>
      <c r="K43" s="63" t="n">
        <v>44109</v>
      </c>
      <c r="L43" s="63" t="n"/>
      <c r="M43" s="64" t="n"/>
      <c r="N43" s="59" t="n"/>
      <c r="O43" s="59" t="n"/>
      <c r="P43" s="65" t="inlineStr">
        <is>
          <t>Part1</t>
        </is>
      </c>
      <c r="Q43" s="61" t="inlineStr">
        <is>
          <t>Map</t>
        </is>
      </c>
      <c r="R43" s="61" t="inlineStr">
        <is>
          <t>Raw data</t>
        </is>
      </c>
    </row>
    <row r="44" ht="29" customHeight="1">
      <c r="A44" s="59" t="inlineStr">
        <is>
          <t>32 Ardmore Rd</t>
        </is>
      </c>
      <c r="B44" s="60" t="n">
        <v>245</v>
      </c>
      <c r="C44" s="59" t="inlineStr">
        <is>
          <t>35 Hawarden Cres</t>
        </is>
      </c>
      <c r="D44" s="59" t="inlineStr">
        <is>
          <t>B0050/23TEY</t>
        </is>
      </c>
      <c r="E44" s="61" t="inlineStr">
        <is>
          <t>Request from CoA staff</t>
        </is>
      </c>
      <c r="F44" s="59" t="inlineStr">
        <is>
          <t>Consent</t>
        </is>
      </c>
      <c r="G44" s="59" t="inlineStr">
        <is>
          <t>Severance or consent</t>
        </is>
      </c>
      <c r="H44" s="59" t="n"/>
      <c r="I44" s="68" t="inlineStr">
        <is>
          <t>Not decided</t>
        </is>
      </c>
      <c r="J44" s="59" t="inlineStr">
        <is>
          <t>Closed, no decision recorded</t>
        </is>
      </c>
      <c r="K44" s="63" t="n">
        <v>45174</v>
      </c>
      <c r="L44" s="63" t="n"/>
      <c r="M44" s="64" t="n"/>
      <c r="N44" s="59" t="n"/>
      <c r="O44" s="59" t="n"/>
      <c r="P44" s="65" t="inlineStr">
        <is>
          <t>To obtain consent to sever an existing residential lot into six residential lots.</t>
        </is>
      </c>
      <c r="Q44" s="61" t="inlineStr">
        <is>
          <t>Map</t>
        </is>
      </c>
      <c r="R44" s="61" t="inlineStr">
        <is>
          <t>Raw data</t>
        </is>
      </c>
    </row>
    <row r="45" ht="68" customHeight="1">
      <c r="A45" s="59" t="inlineStr">
        <is>
          <t>32 Ardmore Rd</t>
        </is>
      </c>
      <c r="B45" s="60" t="n">
        <v>245</v>
      </c>
      <c r="C45" s="59" t="inlineStr">
        <is>
          <t>35 Hawarden Cres</t>
        </is>
      </c>
      <c r="D45" s="59" t="inlineStr">
        <is>
          <t>B0062/20TEY</t>
        </is>
      </c>
      <c r="E45" s="61" t="inlineStr">
        <is>
          <t>Request from CoA staff</t>
        </is>
      </c>
      <c r="F45" s="59" t="inlineStr">
        <is>
          <t>Consent</t>
        </is>
      </c>
      <c r="G45" s="59" t="inlineStr">
        <is>
          <t>Severance or consent</t>
        </is>
      </c>
      <c r="H45" s="59" t="n"/>
      <c r="I45" s="68" t="inlineStr">
        <is>
          <t>Not decided</t>
        </is>
      </c>
      <c r="J45" s="59" t="inlineStr">
        <is>
          <t>Closed, no decision recorded</t>
        </is>
      </c>
      <c r="K45" s="63" t="n">
        <v>44109</v>
      </c>
      <c r="L45" s="63" t="n"/>
      <c r="M45" s="64" t="n"/>
      <c r="N45" s="59" t="n"/>
      <c r="O45" s="59" t="n"/>
      <c r="P45" s="65" t="inlineStr">
        <is>
          <t>To obtain consent to sever the property for the purposes of a lot addition. This application is associated with Consent Application B0061/20TEY and Minor Variance Applications A0878/20TEY &amp; A0879/20TEY.Pre-Circulation to Community Planning and Engineering and Construction Services is required.</t>
        </is>
      </c>
      <c r="Q45" s="61" t="inlineStr">
        <is>
          <t>Map</t>
        </is>
      </c>
      <c r="R45" s="61" t="inlineStr">
        <is>
          <t>Raw data</t>
        </is>
      </c>
    </row>
    <row r="46" ht="42" customHeight="1">
      <c r="A46" s="59" t="inlineStr">
        <is>
          <t>32 Ardmore Rd</t>
        </is>
      </c>
      <c r="B46" s="60" t="n">
        <v>246</v>
      </c>
      <c r="C46" s="59" t="inlineStr">
        <is>
          <t>209 Richview Ave</t>
        </is>
      </c>
      <c r="D46" s="59" t="inlineStr">
        <is>
          <t>A0436/18TEY</t>
        </is>
      </c>
      <c r="E46" s="61" t="inlineStr">
        <is>
          <t>Request from CoA staff</t>
        </is>
      </c>
      <c r="F46" s="59" t="inlineStr">
        <is>
          <t>Minor variance</t>
        </is>
      </c>
      <c r="G46" s="59" t="inlineStr">
        <is>
          <t>Addition or alteration</t>
        </is>
      </c>
      <c r="H46" s="59" t="n">
        <v>3</v>
      </c>
      <c r="I46" s="62" t="inlineStr">
        <is>
          <t>Approved</t>
        </is>
      </c>
      <c r="J46" s="59" t="inlineStr">
        <is>
          <t>Approved</t>
        </is>
      </c>
      <c r="K46" s="63" t="n">
        <v>43210</v>
      </c>
      <c r="L46" s="63" t="n">
        <v>43376</v>
      </c>
      <c r="M46" s="64" t="n">
        <v>24</v>
      </c>
      <c r="N46" s="59" t="n"/>
      <c r="O46" s="59" t="n"/>
      <c r="P46" s="65" t="inlineStr">
        <is>
          <t>To alter the existing two-storey detached dwelling by reconstructing the front ground floor bay window, and by constructing a third storey, rear ground floor addition, and rear first- and second-storey decks.</t>
        </is>
      </c>
      <c r="Q46" s="61" t="inlineStr">
        <is>
          <t>Map</t>
        </is>
      </c>
      <c r="R46" s="61" t="inlineStr">
        <is>
          <t>Raw data</t>
        </is>
      </c>
    </row>
    <row r="47" ht="42" customHeight="1">
      <c r="A47" s="59" t="inlineStr">
        <is>
          <t>32 Ardmore Rd</t>
        </is>
      </c>
      <c r="B47" s="60" t="n">
        <v>246</v>
      </c>
      <c r="C47" s="59" t="inlineStr">
        <is>
          <t>209 Richview Ave</t>
        </is>
      </c>
      <c r="D47" s="59" t="inlineStr">
        <is>
          <t>A0570/19TEY</t>
        </is>
      </c>
      <c r="E47" s="61" t="inlineStr">
        <is>
          <t>Request from CoA staff</t>
        </is>
      </c>
      <c r="F47" s="59" t="inlineStr">
        <is>
          <t>Minor variance</t>
        </is>
      </c>
      <c r="G47" s="59" t="inlineStr">
        <is>
          <t>Addition or alteration</t>
        </is>
      </c>
      <c r="H47" s="59" t="n"/>
      <c r="I47" s="62" t="inlineStr">
        <is>
          <t>Approved</t>
        </is>
      </c>
      <c r="J47" s="59" t="inlineStr">
        <is>
          <t>Approved</t>
        </is>
      </c>
      <c r="K47" s="63" t="n">
        <v>43615</v>
      </c>
      <c r="L47" s="63" t="n">
        <v>43719</v>
      </c>
      <c r="M47" s="64" t="n">
        <v>15</v>
      </c>
      <c r="N47" s="59" t="n"/>
      <c r="O47" s="59" t="n"/>
      <c r="P47" s="65" t="inlineStr">
        <is>
          <t>To alter the existing two-storey detached dwelling by constructing a rear two-storey addition with a rear basement walkout and a rear second storey deck.</t>
        </is>
      </c>
      <c r="Q47" s="61" t="inlineStr">
        <is>
          <t>Map</t>
        </is>
      </c>
      <c r="R47" s="61" t="inlineStr">
        <is>
          <t>Raw data</t>
        </is>
      </c>
    </row>
    <row r="48" ht="55" customHeight="1">
      <c r="A48" s="59" t="inlineStr">
        <is>
          <t>32 Ardmore Rd</t>
        </is>
      </c>
      <c r="B48" s="60" t="n">
        <v>246</v>
      </c>
      <c r="C48" s="59" t="inlineStr">
        <is>
          <t>312 Vesta Dr</t>
        </is>
      </c>
      <c r="D48" s="59" t="inlineStr">
        <is>
          <t>A0888/22TEY</t>
        </is>
      </c>
      <c r="E48" s="61" t="inlineStr">
        <is>
          <t>Request from CoA staff</t>
        </is>
      </c>
      <c r="F48" s="59" t="inlineStr">
        <is>
          <t>Minor variance</t>
        </is>
      </c>
      <c r="G48" s="59" t="inlineStr">
        <is>
          <t>Addition or alteration</t>
        </is>
      </c>
      <c r="H48" s="59" t="n">
        <v>3</v>
      </c>
      <c r="I48" s="62" t="inlineStr">
        <is>
          <t>Approved</t>
        </is>
      </c>
      <c r="J48" s="59" t="inlineStr">
        <is>
          <t>Approved</t>
        </is>
      </c>
      <c r="K48" s="63" t="n">
        <v>44734</v>
      </c>
      <c r="L48" s="63" t="n">
        <v>44867</v>
      </c>
      <c r="M48" s="64" t="n">
        <v>19</v>
      </c>
      <c r="N48" s="59" t="n"/>
      <c r="O48" s="59" t="n"/>
      <c r="P48" s="65" t="inlineStr">
        <is>
          <t>To alter the existing two-and-one-half-storey detached dwelling by constructing a rear third floor addition with a balcony and a rooftop terrace above the two-storey portion of the dwelling. Also, to reconstruct the rear ground level deck.</t>
        </is>
      </c>
      <c r="Q48" s="61" t="inlineStr">
        <is>
          <t>Map</t>
        </is>
      </c>
      <c r="R48" s="61" t="inlineStr">
        <is>
          <t>Raw data</t>
        </is>
      </c>
    </row>
    <row r="49" ht="16" customHeight="1">
      <c r="A49" s="59" t="inlineStr">
        <is>
          <t>32 Ardmore Rd</t>
        </is>
      </c>
      <c r="B49" s="60" t="n">
        <v>246</v>
      </c>
      <c r="C49" s="59" t="inlineStr">
        <is>
          <t>209 Richview Ave</t>
        </is>
      </c>
      <c r="D49" s="59" t="inlineStr">
        <is>
          <t>A1403/17TEY</t>
        </is>
      </c>
      <c r="E49" s="61" t="inlineStr">
        <is>
          <t>Request from CoA staff</t>
        </is>
      </c>
      <c r="F49" s="59" t="inlineStr">
        <is>
          <t>Minor variance</t>
        </is>
      </c>
      <c r="G49" s="59" t="inlineStr">
        <is>
          <t>New house</t>
        </is>
      </c>
      <c r="H49" s="59" t="n"/>
      <c r="I49" s="68" t="inlineStr">
        <is>
          <t>Not decided</t>
        </is>
      </c>
      <c r="J49" s="59" t="inlineStr">
        <is>
          <t>Withdrawn</t>
        </is>
      </c>
      <c r="K49" s="63" t="n">
        <v>43090</v>
      </c>
      <c r="L49" s="63" t="n">
        <v>43243</v>
      </c>
      <c r="M49" s="64" t="n"/>
      <c r="N49" s="59" t="n"/>
      <c r="O49" s="59" t="n"/>
      <c r="P49" s="65" t="inlineStr">
        <is>
          <t>No description on file</t>
        </is>
      </c>
      <c r="Q49" s="61" t="inlineStr">
        <is>
          <t>Map</t>
        </is>
      </c>
      <c r="R49" s="61" t="inlineStr">
        <is>
          <t>Raw data</t>
        </is>
      </c>
    </row>
    <row r="50" ht="68" customHeight="1">
      <c r="A50" s="59" t="inlineStr">
        <is>
          <t>65 Bristol Ave</t>
        </is>
      </c>
      <c r="B50" s="60" t="n">
        <v>15</v>
      </c>
      <c r="C50" s="59" t="inlineStr">
        <is>
          <t>61 Bristol Ave</t>
        </is>
      </c>
      <c r="D50" s="59" t="inlineStr">
        <is>
          <t>A1084/22TEY</t>
        </is>
      </c>
      <c r="E50" s="61" t="inlineStr">
        <is>
          <t>Request from CoA staff</t>
        </is>
      </c>
      <c r="F50" s="59" t="inlineStr">
        <is>
          <t>Minor variance</t>
        </is>
      </c>
      <c r="G50" s="59" t="inlineStr">
        <is>
          <t>New house</t>
        </is>
      </c>
      <c r="H50" s="59" t="n">
        <v>3</v>
      </c>
      <c r="I50" s="62" t="inlineStr">
        <is>
          <t>Approved</t>
        </is>
      </c>
      <c r="J50" s="59" t="inlineStr">
        <is>
          <t>Approved</t>
        </is>
      </c>
      <c r="K50" s="63" t="n">
        <v>44841</v>
      </c>
      <c r="L50" s="63" t="n">
        <v>44937</v>
      </c>
      <c r="M50" s="64" t="n">
        <v>14</v>
      </c>
      <c r="N50" s="59" t="n"/>
      <c r="O50" s="59" t="n"/>
      <c r="P50" s="65" t="inlineStr">
        <is>
          <t>To construct a new three-storey semi-detached dwelling with a front covered porch with a barrier-free access ramp, a rear ground floor patio with a barrier-free access ramp, a front second storey patio, and a rear third storey roof patio. The existing shed in the rear yard will be maintained.</t>
        </is>
      </c>
      <c r="Q50" s="61" t="inlineStr">
        <is>
          <t>Map</t>
        </is>
      </c>
      <c r="R50" s="61" t="inlineStr">
        <is>
          <t>Raw data</t>
        </is>
      </c>
    </row>
    <row r="51" ht="55" customHeight="1">
      <c r="A51" s="59" t="inlineStr">
        <is>
          <t>65 Bristol Ave</t>
        </is>
      </c>
      <c r="B51" s="60" t="n">
        <v>16</v>
      </c>
      <c r="C51" s="59" t="inlineStr">
        <is>
          <t>59 Bristol Ave</t>
        </is>
      </c>
      <c r="D51" s="59" t="inlineStr">
        <is>
          <t>A1079/22TEY</t>
        </is>
      </c>
      <c r="E51" s="61" t="inlineStr">
        <is>
          <t>Request from CoA staff</t>
        </is>
      </c>
      <c r="F51" s="59" t="inlineStr">
        <is>
          <t>Minor variance</t>
        </is>
      </c>
      <c r="G51" s="59" t="inlineStr">
        <is>
          <t>New house</t>
        </is>
      </c>
      <c r="H51" s="59" t="n">
        <v>3</v>
      </c>
      <c r="I51" s="62" t="inlineStr">
        <is>
          <t>Approved</t>
        </is>
      </c>
      <c r="J51" s="59" t="inlineStr">
        <is>
          <t>Approved</t>
        </is>
      </c>
      <c r="K51" s="63" t="n">
        <v>44839</v>
      </c>
      <c r="L51" s="63" t="n">
        <v>44937</v>
      </c>
      <c r="M51" s="64" t="n">
        <v>14</v>
      </c>
      <c r="N51" s="59" t="n"/>
      <c r="O51" s="59" t="n"/>
      <c r="P51" s="65" t="inlineStr">
        <is>
          <t>To construct a new three-storey semi-detached dwelling with a front covered porch, a rear ground floor patio, a front second storey patio, and a rear third storey roof patio. The existing shed in the rear yard will be maintained.</t>
        </is>
      </c>
      <c r="Q51" s="61" t="inlineStr">
        <is>
          <t>Map</t>
        </is>
      </c>
      <c r="R51" s="61" t="inlineStr">
        <is>
          <t>Raw data</t>
        </is>
      </c>
    </row>
    <row r="52" ht="55" customHeight="1">
      <c r="A52" s="59" t="inlineStr">
        <is>
          <t>65 Bristol Ave</t>
        </is>
      </c>
      <c r="B52" s="60" t="n">
        <v>27</v>
      </c>
      <c r="C52" s="59" t="inlineStr">
        <is>
          <t>55 Bristol Ave</t>
        </is>
      </c>
      <c r="D52" s="59" t="inlineStr">
        <is>
          <t>A0120/17EYK</t>
        </is>
      </c>
      <c r="E52" s="61" t="inlineStr">
        <is>
          <t>Request from CoA staff</t>
        </is>
      </c>
      <c r="F52" s="59" t="inlineStr">
        <is>
          <t>Minor variance</t>
        </is>
      </c>
      <c r="G52" s="59" t="inlineStr">
        <is>
          <t>Addition or alteration</t>
        </is>
      </c>
      <c r="H52" s="59" t="n"/>
      <c r="I52" s="62" t="inlineStr">
        <is>
          <t>Approved</t>
        </is>
      </c>
      <c r="J52" s="59" t="inlineStr">
        <is>
          <t>Approved</t>
        </is>
      </c>
      <c r="K52" s="63" t="n">
        <v>42774</v>
      </c>
      <c r="L52" s="63" t="n">
        <v>42817</v>
      </c>
      <c r="M52" s="64" t="n">
        <v>6</v>
      </c>
      <c r="N52" s="59" t="n"/>
      <c r="O52" s="59" t="n"/>
      <c r="P52" s="65" t="inlineStr">
        <is>
          <t>To construct a rear basement walkout, a rear deck and a second storey rear balcony. The basement of the existing dwelling will be converted into an additional dwelling unit. The altered dwelling will have a total of three dwelling units.</t>
        </is>
      </c>
      <c r="Q52" s="61" t="inlineStr">
        <is>
          <t>Map</t>
        </is>
      </c>
      <c r="R52" s="61" t="inlineStr">
        <is>
          <t>Raw data</t>
        </is>
      </c>
    </row>
    <row r="53" ht="42" customHeight="1">
      <c r="A53" s="59" t="inlineStr">
        <is>
          <t>65 Bristol Ave</t>
        </is>
      </c>
      <c r="B53" s="60" t="n">
        <v>57</v>
      </c>
      <c r="C53" s="59" t="inlineStr">
        <is>
          <t>50 Bristol Ave</t>
        </is>
      </c>
      <c r="D53" s="59" t="inlineStr">
        <is>
          <t>A0792/23TEY</t>
        </is>
      </c>
      <c r="E53" s="61" t="inlineStr">
        <is>
          <t>Open on City site</t>
        </is>
      </c>
      <c r="F53" s="59" t="inlineStr">
        <is>
          <t>Minor variance</t>
        </is>
      </c>
      <c r="G53" s="59" t="inlineStr">
        <is>
          <t>Addition or alteration</t>
        </is>
      </c>
      <c r="H53" s="59" t="n">
        <v>3</v>
      </c>
      <c r="I53" s="62" t="inlineStr">
        <is>
          <t>Approved</t>
        </is>
      </c>
      <c r="J53" s="59" t="inlineStr">
        <is>
          <t>Approved</t>
        </is>
      </c>
      <c r="K53" s="63" t="n">
        <v>45159</v>
      </c>
      <c r="L53" s="63" t="n">
        <v>45224</v>
      </c>
      <c r="M53" s="64" t="n">
        <v>9</v>
      </c>
      <c r="N53" s="59" t="n"/>
      <c r="O53" s="59" t="n"/>
      <c r="P53" s="65" t="inlineStr">
        <is>
          <t>To alter the existing two-storey rowhouse by constructing a rear two-storey addition and a third storey addition with a rear third storey rooftop deck (which will be above the two-storey addition).</t>
        </is>
      </c>
      <c r="Q53" s="61" t="inlineStr">
        <is>
          <t>Map</t>
        </is>
      </c>
      <c r="R53" s="61" t="inlineStr">
        <is>
          <t>Raw data</t>
        </is>
      </c>
    </row>
    <row r="54" ht="16" customHeight="1">
      <c r="A54" s="59" t="inlineStr">
        <is>
          <t>65 Bristol Ave</t>
        </is>
      </c>
      <c r="B54" s="60" t="n">
        <v>68</v>
      </c>
      <c r="C54" s="59" t="inlineStr">
        <is>
          <t>82 Bristol Ave</t>
        </is>
      </c>
      <c r="D54" s="59" t="inlineStr">
        <is>
          <t>A0960/17EYK</t>
        </is>
      </c>
      <c r="E54" s="61" t="inlineStr">
        <is>
          <t>Request from CoA staff</t>
        </is>
      </c>
      <c r="F54" s="59" t="inlineStr">
        <is>
          <t>Minor variance</t>
        </is>
      </c>
      <c r="G54" s="59" t="inlineStr">
        <is>
          <t>Addition or alteration</t>
        </is>
      </c>
      <c r="H54" s="59" t="n"/>
      <c r="I54" s="62" t="inlineStr">
        <is>
          <t>Approved</t>
        </is>
      </c>
      <c r="J54" s="59" t="inlineStr">
        <is>
          <t>Approved</t>
        </is>
      </c>
      <c r="K54" s="63" t="n">
        <v>43049</v>
      </c>
      <c r="L54" s="63" t="n">
        <v>43125</v>
      </c>
      <c r="M54" s="64" t="n">
        <v>11</v>
      </c>
      <c r="N54" s="59" t="n"/>
      <c r="O54" s="59" t="n"/>
      <c r="P54" s="65" t="inlineStr">
        <is>
          <t>To construct a second storey rear addition.</t>
        </is>
      </c>
      <c r="Q54" s="61" t="inlineStr">
        <is>
          <t>Map</t>
        </is>
      </c>
      <c r="R54" s="61" t="inlineStr">
        <is>
          <t>Raw data</t>
        </is>
      </c>
    </row>
    <row r="55" ht="94" customHeight="1">
      <c r="A55" s="59" t="inlineStr">
        <is>
          <t>65 Bristol Ave</t>
        </is>
      </c>
      <c r="B55" s="60" t="n">
        <v>115</v>
      </c>
      <c r="C55" s="59" t="inlineStr">
        <is>
          <t>349 Bartlett Ave N</t>
        </is>
      </c>
      <c r="D55" s="59" t="inlineStr">
        <is>
          <t>A0864/25TEY</t>
        </is>
      </c>
      <c r="E55" s="61" t="inlineStr">
        <is>
          <t>Request from CoA staff</t>
        </is>
      </c>
      <c r="F55" s="59" t="inlineStr">
        <is>
          <t>Minor variance</t>
        </is>
      </c>
      <c r="G55" s="59" t="inlineStr">
        <is>
          <t>Addition or alteration</t>
        </is>
      </c>
      <c r="H55" s="59" t="n"/>
      <c r="I55" s="62" t="inlineStr">
        <is>
          <t>Approved</t>
        </is>
      </c>
      <c r="J55" s="59" t="inlineStr">
        <is>
          <t>Approved</t>
        </is>
      </c>
      <c r="K55" s="63" t="n">
        <v>45966</v>
      </c>
      <c r="L55" s="63" t="n">
        <v>46085</v>
      </c>
      <c r="M55" s="64" t="n">
        <v>17</v>
      </c>
      <c r="N55" s="59" t="n"/>
      <c r="O55" s="59" t="n"/>
      <c r="P55" s="65" t="inlineStr">
        <is>
          <t>To construct a new three-storey semi-detached dwelling (including a basement with walkout) with front and rear porches with stairs, a rear second storey balcony, and front and rear third storey balconies. Also, to construct a new one-storey semi-detached ancillary building (including a basement with walkout) containing one garden suite. There will be a total of four residential dwelling units on this lot (three units within the main building, and one unit within the ancillary building).</t>
        </is>
      </c>
      <c r="Q55" s="61" t="inlineStr">
        <is>
          <t>Map</t>
        </is>
      </c>
      <c r="R55" s="61" t="inlineStr">
        <is>
          <t>Raw data</t>
        </is>
      </c>
    </row>
    <row r="56" ht="94" customHeight="1">
      <c r="A56" s="59" t="inlineStr">
        <is>
          <t>65 Bristol Ave</t>
        </is>
      </c>
      <c r="B56" s="60" t="n">
        <v>116</v>
      </c>
      <c r="C56" s="59" t="inlineStr">
        <is>
          <t>347 Bartlett Ave N</t>
        </is>
      </c>
      <c r="D56" s="59" t="inlineStr">
        <is>
          <t>A0865/25TEY</t>
        </is>
      </c>
      <c r="E56" s="61" t="inlineStr">
        <is>
          <t>Request from CoA staff</t>
        </is>
      </c>
      <c r="F56" s="59" t="inlineStr">
        <is>
          <t>Minor variance</t>
        </is>
      </c>
      <c r="G56" s="59" t="inlineStr">
        <is>
          <t>Addition or alteration</t>
        </is>
      </c>
      <c r="H56" s="59" t="n"/>
      <c r="I56" s="62" t="inlineStr">
        <is>
          <t>Approved</t>
        </is>
      </c>
      <c r="J56" s="59" t="inlineStr">
        <is>
          <t>Approved</t>
        </is>
      </c>
      <c r="K56" s="63" t="n">
        <v>45966</v>
      </c>
      <c r="L56" s="63" t="n">
        <v>46085</v>
      </c>
      <c r="M56" s="64" t="n">
        <v>17</v>
      </c>
      <c r="N56" s="59" t="n"/>
      <c r="O56" s="59" t="n"/>
      <c r="P56" s="65" t="inlineStr">
        <is>
          <t>To construct a new three-storey semi-detached dwelling (including a basement with walkout) with front and rear porches with stairs, a rear second storey balcony, and front and rear third storey balconies. Also, to construct a new one-storey semi-detached ancillary building (including a basement with walkout) containing one garden suite. There will be a total of four residential dwelling units on this lot (three units within the main building, and one unit within the ancillary building).</t>
        </is>
      </c>
      <c r="Q56" s="61" t="inlineStr">
        <is>
          <t>Map</t>
        </is>
      </c>
      <c r="R56" s="61" t="inlineStr">
        <is>
          <t>Raw data</t>
        </is>
      </c>
    </row>
    <row r="57" ht="29" customHeight="1">
      <c r="A57" s="59" t="inlineStr">
        <is>
          <t>65 Bristol Ave</t>
        </is>
      </c>
      <c r="B57" s="60" t="n">
        <v>130</v>
      </c>
      <c r="C57" s="59" t="inlineStr">
        <is>
          <t>113 Bristol Ave</t>
        </is>
      </c>
      <c r="D57" s="59" t="inlineStr">
        <is>
          <t>A1038/21TEY</t>
        </is>
      </c>
      <c r="E57" s="61" t="inlineStr">
        <is>
          <t>Request from CoA staff</t>
        </is>
      </c>
      <c r="F57" s="59" t="inlineStr">
        <is>
          <t>Minor variance</t>
        </is>
      </c>
      <c r="G57" s="59" t="inlineStr">
        <is>
          <t>Legalize existing work</t>
        </is>
      </c>
      <c r="H57" s="59" t="n"/>
      <c r="I57" s="66" t="inlineStr">
        <is>
          <t>Refused</t>
        </is>
      </c>
      <c r="J57" s="59" t="inlineStr">
        <is>
          <t>Refused</t>
        </is>
      </c>
      <c r="K57" s="63" t="n">
        <v>44370</v>
      </c>
      <c r="L57" s="63" t="n">
        <v>44748</v>
      </c>
      <c r="M57" s="64" t="n">
        <v>54</v>
      </c>
      <c r="N57" s="59" t="n"/>
      <c r="O57" s="59" t="n"/>
      <c r="P57" s="65" t="inlineStr">
        <is>
          <t>To legalize and to maintain the rear two-storey addition that was constructed beyond the limits of the approved building permit.</t>
        </is>
      </c>
      <c r="Q57" s="61" t="inlineStr">
        <is>
          <t>Map</t>
        </is>
      </c>
      <c r="R57" s="61" t="inlineStr">
        <is>
          <t>Raw data</t>
        </is>
      </c>
    </row>
    <row r="58" ht="42" customHeight="1">
      <c r="A58" s="59" t="inlineStr">
        <is>
          <t>65 Bristol Ave</t>
        </is>
      </c>
      <c r="B58" s="60" t="n">
        <v>130</v>
      </c>
      <c r="C58" s="59" t="inlineStr">
        <is>
          <t>113 Bristol Ave</t>
        </is>
      </c>
      <c r="D58" s="59" t="inlineStr">
        <is>
          <t>A1199/22TEY</t>
        </is>
      </c>
      <c r="E58" s="61" t="inlineStr">
        <is>
          <t>Request from CoA staff</t>
        </is>
      </c>
      <c r="F58" s="59" t="inlineStr">
        <is>
          <t>Minor variance</t>
        </is>
      </c>
      <c r="G58" s="59" t="inlineStr">
        <is>
          <t>Addition or alteration</t>
        </is>
      </c>
      <c r="H58" s="59" t="n"/>
      <c r="I58" s="62" t="inlineStr">
        <is>
          <t>Approved</t>
        </is>
      </c>
      <c r="J58" s="59" t="inlineStr">
        <is>
          <t>Approved</t>
        </is>
      </c>
      <c r="K58" s="63" t="n">
        <v>44854</v>
      </c>
      <c r="L58" s="63" t="n">
        <v>44972</v>
      </c>
      <c r="M58" s="64" t="n">
        <v>17</v>
      </c>
      <c r="N58" s="59" t="n"/>
      <c r="O58" s="59" t="n"/>
      <c r="P58" s="65" t="inlineStr">
        <is>
          <t>To alter the existing two-storey semi-detached dwelling by extending the one-storey rear addition into a complete two-storey rear addition with a second storey balcony.</t>
        </is>
      </c>
      <c r="Q58" s="61" t="inlineStr">
        <is>
          <t>Map</t>
        </is>
      </c>
      <c r="R58" s="61" t="inlineStr">
        <is>
          <t>Raw data</t>
        </is>
      </c>
    </row>
    <row r="59" ht="42" customHeight="1">
      <c r="A59" s="59" t="inlineStr">
        <is>
          <t>65 Bristol Ave</t>
        </is>
      </c>
      <c r="B59" s="60" t="n">
        <v>145</v>
      </c>
      <c r="C59" s="59" t="inlineStr">
        <is>
          <t>7 Bristol Ave</t>
        </is>
      </c>
      <c r="D59" s="59" t="inlineStr">
        <is>
          <t>A0386/23TEY</t>
        </is>
      </c>
      <c r="E59" s="61" t="inlineStr">
        <is>
          <t>Request from CoA staff</t>
        </is>
      </c>
      <c r="F59" s="59" t="inlineStr">
        <is>
          <t>Minor variance</t>
        </is>
      </c>
      <c r="G59" s="59" t="inlineStr">
        <is>
          <t>Other</t>
        </is>
      </c>
      <c r="H59" s="59" t="n"/>
      <c r="I59" s="68" t="inlineStr">
        <is>
          <t>Not decided</t>
        </is>
      </c>
      <c r="J59" s="59" t="inlineStr">
        <is>
          <t>Withdrawn</t>
        </is>
      </c>
      <c r="K59" s="63" t="n">
        <v>45037</v>
      </c>
      <c r="L59" s="63" t="n">
        <v>45105</v>
      </c>
      <c r="M59" s="64" t="n"/>
      <c r="N59" s="59" t="n"/>
      <c r="O59" s="59" t="n"/>
      <c r="P59" s="65" t="inlineStr">
        <is>
          <t>To construct a new three-storey detached fourplex with a covered front porch; front and rear basement walkouts and patios; and, rear exit stairs with verandahs on the ground, second, and third levels.</t>
        </is>
      </c>
      <c r="Q59" s="61" t="inlineStr">
        <is>
          <t>Map</t>
        </is>
      </c>
      <c r="R59" s="61" t="inlineStr">
        <is>
          <t>Raw data</t>
        </is>
      </c>
    </row>
    <row r="60" ht="16" customHeight="1">
      <c r="A60" s="59" t="inlineStr">
        <is>
          <t>65 Bristol Ave</t>
        </is>
      </c>
      <c r="B60" s="60" t="n">
        <v>164</v>
      </c>
      <c r="C60" s="59" t="inlineStr">
        <is>
          <t>466 Salem Ave N</t>
        </is>
      </c>
      <c r="D60" s="59" t="inlineStr">
        <is>
          <t>No file number</t>
        </is>
      </c>
      <c r="E60" s="61" t="inlineStr">
        <is>
          <t>Request from CoA staff</t>
        </is>
      </c>
      <c r="F60" s="59" t="inlineStr">
        <is>
          <t>Minor variance</t>
        </is>
      </c>
      <c r="G60" s="59" t="inlineStr">
        <is>
          <t>Addition or alteration</t>
        </is>
      </c>
      <c r="H60" s="59" t="n"/>
      <c r="I60" s="68" t="inlineStr">
        <is>
          <t>Not decided</t>
        </is>
      </c>
      <c r="J60" s="59" t="inlineStr">
        <is>
          <t>Closed, no decision recorded</t>
        </is>
      </c>
      <c r="K60" s="63" t="n">
        <v>45631</v>
      </c>
      <c r="L60" s="63" t="n"/>
      <c r="M60" s="64" t="n"/>
      <c r="N60" s="59" t="n"/>
      <c r="O60" s="59" t="n"/>
      <c r="P60" s="65" t="inlineStr">
        <is>
          <t>No description on file</t>
        </is>
      </c>
      <c r="Q60" s="61" t="inlineStr">
        <is>
          <t>Map</t>
        </is>
      </c>
      <c r="R60" s="69" t="n"/>
    </row>
    <row r="61" ht="94" customHeight="1">
      <c r="A61" s="59" t="inlineStr">
        <is>
          <t>65 Bristol Ave</t>
        </is>
      </c>
      <c r="B61" s="60" t="n">
        <v>167</v>
      </c>
      <c r="C61" s="59" t="inlineStr">
        <is>
          <t>1446 Dufferin St</t>
        </is>
      </c>
      <c r="D61" s="59" t="inlineStr">
        <is>
          <t>A0701/25TEY</t>
        </is>
      </c>
      <c r="E61" s="61" t="inlineStr">
        <is>
          <t>Request from CoA staff</t>
        </is>
      </c>
      <c r="F61" s="59" t="inlineStr">
        <is>
          <t>Minor variance</t>
        </is>
      </c>
      <c r="G61" s="59" t="inlineStr">
        <is>
          <t>Addition or alteration</t>
        </is>
      </c>
      <c r="H61" s="59" t="n"/>
      <c r="I61" s="62" t="inlineStr">
        <is>
          <t>Approved</t>
        </is>
      </c>
      <c r="J61" s="59" t="inlineStr">
        <is>
          <t>Approved</t>
        </is>
      </c>
      <c r="K61" s="63" t="n">
        <v>45915</v>
      </c>
      <c r="L61" s="63" t="n">
        <v>45959</v>
      </c>
      <c r="M61" s="64" t="n">
        <v>6</v>
      </c>
      <c r="N61" s="59" t="n"/>
      <c r="O61" s="59" t="n"/>
      <c r="P61" s="65" t="inlineStr">
        <is>
          <t>To alter the existing one-storey semi-detached ancillary building (abutting the laneway) by constructing a complete second storey addition. This ancillary building will contain a one-car garage on the ground level, and one laneway suite on the second level, with a front balcony. There will be a total of five residential dwelling units on this lot (four units within the main building and one unit within the ancillary building).</t>
        </is>
      </c>
      <c r="Q61" s="61" t="inlineStr">
        <is>
          <t>Map</t>
        </is>
      </c>
      <c r="R61" s="61" t="inlineStr">
        <is>
          <t>Raw data</t>
        </is>
      </c>
    </row>
    <row r="62" ht="68" customHeight="1">
      <c r="A62" s="59" t="inlineStr">
        <is>
          <t>65 Bristol Ave</t>
        </is>
      </c>
      <c r="B62" s="60" t="n">
        <v>168</v>
      </c>
      <c r="C62" s="59" t="inlineStr">
        <is>
          <t>1444 Dufferin St</t>
        </is>
      </c>
      <c r="D62" s="59" t="inlineStr">
        <is>
          <t>A0995/24TEY</t>
        </is>
      </c>
      <c r="E62" s="61" t="inlineStr">
        <is>
          <t>Request from CoA staff</t>
        </is>
      </c>
      <c r="F62" s="59" t="inlineStr">
        <is>
          <t>Minor variance</t>
        </is>
      </c>
      <c r="G62" s="59" t="inlineStr">
        <is>
          <t>New house</t>
        </is>
      </c>
      <c r="H62" s="59" t="n">
        <v>2</v>
      </c>
      <c r="I62" s="62" t="inlineStr">
        <is>
          <t>Approved</t>
        </is>
      </c>
      <c r="J62" s="59" t="inlineStr">
        <is>
          <t>Approved</t>
        </is>
      </c>
      <c r="K62" s="63" t="n">
        <v>45608</v>
      </c>
      <c r="L62" s="63" t="n">
        <v>45672</v>
      </c>
      <c r="M62" s="64" t="n">
        <v>9</v>
      </c>
      <c r="N62" s="59" t="n"/>
      <c r="O62" s="59" t="n"/>
      <c r="P62" s="65" t="inlineStr">
        <is>
          <t>To construct a new two-storey ancillary building (with a second storey balcony), in the rear yard, abutting the laneway. This ancillary building will contain one laneway suite. There will be a total of two residential dwelling units on this lot (one unit within the main house and one unit within the ancillary building).</t>
        </is>
      </c>
      <c r="Q62" s="61" t="inlineStr">
        <is>
          <t>Map</t>
        </is>
      </c>
      <c r="R62" s="61" t="inlineStr">
        <is>
          <t>Raw data</t>
        </is>
      </c>
    </row>
    <row r="63" ht="16" customHeight="1">
      <c r="A63" s="59" t="inlineStr">
        <is>
          <t>65 Bristol Ave</t>
        </is>
      </c>
      <c r="B63" s="60" t="n">
        <v>174</v>
      </c>
      <c r="C63" s="59" t="inlineStr">
        <is>
          <t>200 Geary Ave</t>
        </is>
      </c>
      <c r="D63" s="59" t="inlineStr">
        <is>
          <t>No file number</t>
        </is>
      </c>
      <c r="E63" s="61" t="inlineStr">
        <is>
          <t>Request from CoA staff</t>
        </is>
      </c>
      <c r="F63" s="59" t="inlineStr">
        <is>
          <t>Minor variance</t>
        </is>
      </c>
      <c r="G63" s="59" t="inlineStr">
        <is>
          <t>Other</t>
        </is>
      </c>
      <c r="H63" s="59" t="n"/>
      <c r="I63" s="68" t="inlineStr">
        <is>
          <t>Not decided</t>
        </is>
      </c>
      <c r="J63" s="59" t="inlineStr">
        <is>
          <t>Closed, no decision recorded</t>
        </is>
      </c>
      <c r="K63" s="63" t="n">
        <v>45505</v>
      </c>
      <c r="L63" s="63" t="n"/>
      <c r="M63" s="64" t="n"/>
      <c r="N63" s="59" t="n"/>
      <c r="O63" s="59" t="n"/>
      <c r="P63" s="65" t="inlineStr">
        <is>
          <t>No description on file</t>
        </is>
      </c>
      <c r="Q63" s="61" t="inlineStr">
        <is>
          <t>Map</t>
        </is>
      </c>
      <c r="R63" s="69" t="n"/>
    </row>
    <row r="64" ht="29" customHeight="1">
      <c r="A64" s="59" t="inlineStr">
        <is>
          <t>65 Bristol Ave</t>
        </is>
      </c>
      <c r="B64" s="60" t="n">
        <v>175</v>
      </c>
      <c r="C64" s="59" t="inlineStr">
        <is>
          <t>220 Geary Ave</t>
        </is>
      </c>
      <c r="D64" s="59" t="inlineStr">
        <is>
          <t>A0691/24TEY</t>
        </is>
      </c>
      <c r="E64" s="61" t="inlineStr">
        <is>
          <t>Request from CoA staff</t>
        </is>
      </c>
      <c r="F64" s="59" t="inlineStr">
        <is>
          <t>Minor variance</t>
        </is>
      </c>
      <c r="G64" s="59" t="inlineStr">
        <is>
          <t>Other</t>
        </is>
      </c>
      <c r="H64" s="59" t="n"/>
      <c r="I64" s="62" t="inlineStr">
        <is>
          <t>Approved</t>
        </is>
      </c>
      <c r="J64" s="59" t="inlineStr">
        <is>
          <t>Approved</t>
        </is>
      </c>
      <c r="K64" s="63" t="n">
        <v>45505</v>
      </c>
      <c r="L64" s="63" t="n">
        <v>45581</v>
      </c>
      <c r="M64" s="64" t="n">
        <v>11</v>
      </c>
      <c r="N64" s="59" t="n"/>
      <c r="O64" s="59" t="n"/>
      <c r="P64" s="65" t="inlineStr">
        <is>
          <t>To permit a personal service shop use (barber studio to be located on the second storey of the existing two-storey building).</t>
        </is>
      </c>
      <c r="Q64" s="61" t="inlineStr">
        <is>
          <t>Map</t>
        </is>
      </c>
      <c r="R64" s="61" t="inlineStr">
        <is>
          <t>Raw data</t>
        </is>
      </c>
    </row>
    <row r="65" ht="16" customHeight="1">
      <c r="A65" s="59" t="inlineStr">
        <is>
          <t>65 Bristol Ave</t>
        </is>
      </c>
      <c r="B65" s="60" t="n">
        <v>180</v>
      </c>
      <c r="C65" s="59" t="inlineStr">
        <is>
          <t>216 Geary Ave</t>
        </is>
      </c>
      <c r="D65" s="59" t="inlineStr">
        <is>
          <t>A0237/18EYK</t>
        </is>
      </c>
      <c r="E65" s="61" t="inlineStr">
        <is>
          <t>Request from CoA staff</t>
        </is>
      </c>
      <c r="F65" s="59" t="inlineStr">
        <is>
          <t>Minor variance</t>
        </is>
      </c>
      <c r="G65" s="59" t="inlineStr">
        <is>
          <t>Other</t>
        </is>
      </c>
      <c r="H65" s="59" t="n"/>
      <c r="I65" s="68" t="inlineStr">
        <is>
          <t>Not decided</t>
        </is>
      </c>
      <c r="J65" s="59" t="inlineStr">
        <is>
          <t>Deferred</t>
        </is>
      </c>
      <c r="K65" s="63" t="n">
        <v>43168</v>
      </c>
      <c r="L65" s="63" t="n"/>
      <c r="M65" s="64" t="n"/>
      <c r="N65" s="59" t="n"/>
      <c r="O65" s="59" t="n"/>
      <c r="P65" s="65" t="inlineStr">
        <is>
          <t>To construct a three-storey commercial building.</t>
        </is>
      </c>
      <c r="Q65" s="61" t="inlineStr">
        <is>
          <t>Map</t>
        </is>
      </c>
      <c r="R65" s="61" t="inlineStr">
        <is>
          <t>Raw data</t>
        </is>
      </c>
    </row>
    <row r="66" ht="94" customHeight="1">
      <c r="A66" s="59" t="inlineStr">
        <is>
          <t>65 Bristol Ave</t>
        </is>
      </c>
      <c r="B66" s="60" t="n">
        <v>180</v>
      </c>
      <c r="C66" s="59" t="inlineStr">
        <is>
          <t>216 Geary Ave</t>
        </is>
      </c>
      <c r="D66" s="59" t="inlineStr">
        <is>
          <t>A1083/23TEY</t>
        </is>
      </c>
      <c r="E66" s="61" t="inlineStr">
        <is>
          <t>Request from CoA staff</t>
        </is>
      </c>
      <c r="F66" s="59" t="inlineStr">
        <is>
          <t>Minor variance</t>
        </is>
      </c>
      <c r="G66" s="59" t="inlineStr">
        <is>
          <t>Other</t>
        </is>
      </c>
      <c r="H66" s="59" t="n"/>
      <c r="I66" s="62" t="inlineStr">
        <is>
          <t>Approved</t>
        </is>
      </c>
      <c r="J66" s="59" t="inlineStr">
        <is>
          <t>Approved</t>
        </is>
      </c>
      <c r="K66" s="63" t="n">
        <v>45279</v>
      </c>
      <c r="L66" s="63" t="n">
        <v>45378</v>
      </c>
      <c r="M66" s="64" t="n">
        <v>14</v>
      </c>
      <c r="N66" s="59" t="n"/>
      <c r="O66" s="59" t="inlineStr">
        <is>
          <t>25 116847</t>
        </is>
      </c>
      <c r="P66" s="65" t="inlineStr">
        <is>
          <t>To permit an outdoor patio and open storage area on the existing vacant lot (municipally known as 216 Geary Avenue), which will be in conjunction with the existing ground floor and mezzanine eating establishment (municipally known as 218 Geary Avenue).  Also, to permit a front yard outdoor patio in conjunction with the existing ground floor and mezzanine eating establishment (municipally known as 218 Geary Avenue), and to convert the ground floor and mezzanine of the existing building (municipally know as 220 and 222 Geary Avenue) into two eating establishments, each with a front yard outdoor patio. Also, to remove the existing parking spaces.</t>
        </is>
      </c>
      <c r="Q66" s="61" t="inlineStr">
        <is>
          <t>Map</t>
        </is>
      </c>
      <c r="R66" s="61" t="inlineStr">
        <is>
          <t>Raw data</t>
        </is>
      </c>
    </row>
    <row r="67" ht="29" customHeight="1">
      <c r="A67" s="59" t="inlineStr">
        <is>
          <t>65 Bristol Ave</t>
        </is>
      </c>
      <c r="B67" s="60" t="n">
        <v>182</v>
      </c>
      <c r="C67" s="59" t="inlineStr">
        <is>
          <t>1406 Dufferin St</t>
        </is>
      </c>
      <c r="D67" s="59" t="inlineStr">
        <is>
          <t>A1168/21TEY</t>
        </is>
      </c>
      <c r="E67" s="61" t="inlineStr">
        <is>
          <t>Request from CoA staff</t>
        </is>
      </c>
      <c r="F67" s="59" t="inlineStr">
        <is>
          <t>Minor variance</t>
        </is>
      </c>
      <c r="G67" s="59" t="inlineStr">
        <is>
          <t>New house</t>
        </is>
      </c>
      <c r="H67" s="59" t="n">
        <v>2</v>
      </c>
      <c r="I67" s="62" t="inlineStr">
        <is>
          <t>Approved</t>
        </is>
      </c>
      <c r="J67" s="59" t="inlineStr">
        <is>
          <t>Approved</t>
        </is>
      </c>
      <c r="K67" s="63" t="n">
        <v>44453</v>
      </c>
      <c r="L67" s="63" t="n">
        <v>44587</v>
      </c>
      <c r="M67" s="64" t="n">
        <v>19</v>
      </c>
      <c r="N67" s="59" t="n"/>
      <c r="O67" s="59" t="n"/>
      <c r="P67" s="65" t="inlineStr">
        <is>
          <t>To construct a new two-storey ancillary building containing a laneway suite in the rear of the existing two-storey dwelling.</t>
        </is>
      </c>
      <c r="Q67" s="61" t="inlineStr">
        <is>
          <t>Map</t>
        </is>
      </c>
      <c r="R67" s="61" t="inlineStr">
        <is>
          <t>Raw data</t>
        </is>
      </c>
    </row>
    <row r="68" ht="81" customHeight="1">
      <c r="A68" s="59" t="inlineStr">
        <is>
          <t>65 Bristol Ave</t>
        </is>
      </c>
      <c r="B68" s="60" t="n">
        <v>187</v>
      </c>
      <c r="C68" s="59" t="inlineStr">
        <is>
          <t>496 Salem Ave N</t>
        </is>
      </c>
      <c r="D68" s="59" t="inlineStr">
        <is>
          <t>A0191/24TEY</t>
        </is>
      </c>
      <c r="E68" s="61" t="inlineStr">
        <is>
          <t>Request from CoA staff</t>
        </is>
      </c>
      <c r="F68" s="59" t="inlineStr">
        <is>
          <t>Minor variance</t>
        </is>
      </c>
      <c r="G68" s="59" t="inlineStr">
        <is>
          <t>Addition or alteration</t>
        </is>
      </c>
      <c r="H68" s="59" t="n"/>
      <c r="I68" s="62" t="inlineStr">
        <is>
          <t>Approved</t>
        </is>
      </c>
      <c r="J68" s="59" t="inlineStr">
        <is>
          <t>Approved</t>
        </is>
      </c>
      <c r="K68" s="63" t="n">
        <v>45328</v>
      </c>
      <c r="L68" s="63" t="n">
        <v>45399</v>
      </c>
      <c r="M68" s="64" t="n">
        <v>10</v>
      </c>
      <c r="N68" s="59" t="n"/>
      <c r="O68" s="59" t="n"/>
      <c r="P68" s="65" t="inlineStr">
        <is>
          <t>To construct a new three-storey detached dwelling and a front covered porch. Also, to alter the existing one-storey ancillary building (detached garage) by constructing a complete second storey addition. There will be a total of four residential dwelling units on this lot (three dwelling units within the main house and one dwelling unit (laneway suite) within the ancillary building).</t>
        </is>
      </c>
      <c r="Q68" s="61" t="inlineStr">
        <is>
          <t>Map</t>
        </is>
      </c>
      <c r="R68" s="61" t="inlineStr">
        <is>
          <t>Raw data</t>
        </is>
      </c>
    </row>
    <row r="69" ht="42" customHeight="1">
      <c r="A69" s="59" t="inlineStr">
        <is>
          <t>65 Bristol Ave</t>
        </is>
      </c>
      <c r="B69" s="60" t="n">
        <v>220</v>
      </c>
      <c r="C69" s="59" t="inlineStr">
        <is>
          <t>404 Salem Ave N</t>
        </is>
      </c>
      <c r="D69" s="59" t="inlineStr">
        <is>
          <t>A1144/19TEY</t>
        </is>
      </c>
      <c r="E69" s="61" t="inlineStr">
        <is>
          <t>Request from CoA staff</t>
        </is>
      </c>
      <c r="F69" s="59" t="inlineStr">
        <is>
          <t>Minor variance</t>
        </is>
      </c>
      <c r="G69" s="59" t="inlineStr">
        <is>
          <t>New house</t>
        </is>
      </c>
      <c r="H69" s="59" t="n">
        <v>2</v>
      </c>
      <c r="I69" s="62" t="inlineStr">
        <is>
          <t>Approved</t>
        </is>
      </c>
      <c r="J69" s="59" t="inlineStr">
        <is>
          <t>Approved</t>
        </is>
      </c>
      <c r="K69" s="63" t="n">
        <v>43775</v>
      </c>
      <c r="L69" s="63" t="n">
        <v>43901</v>
      </c>
      <c r="M69" s="64" t="n">
        <v>18</v>
      </c>
      <c r="N69" s="59" t="n"/>
      <c r="O69" s="59" t="n"/>
      <c r="P69" s="65" t="inlineStr">
        <is>
          <t>To construct a new two-storey detached dwelling with a rear basement walkout, rooftop terrace, green roof and an integral garage accessed through a side yard easement.</t>
        </is>
      </c>
      <c r="Q69" s="61" t="inlineStr">
        <is>
          <t>Map</t>
        </is>
      </c>
      <c r="R69" s="61" t="inlineStr">
        <is>
          <t>Raw data</t>
        </is>
      </c>
    </row>
    <row r="70" ht="55" customHeight="1">
      <c r="A70" s="59" t="inlineStr">
        <is>
          <t>65 Bristol Ave</t>
        </is>
      </c>
      <c r="B70" s="60" t="n">
        <v>223</v>
      </c>
      <c r="C70" s="59" t="inlineStr">
        <is>
          <t>211 Geary Ave</t>
        </is>
      </c>
      <c r="D70" s="59" t="inlineStr">
        <is>
          <t>A0495/24TEY</t>
        </is>
      </c>
      <c r="E70" s="61" t="inlineStr">
        <is>
          <t>Request from CoA staff</t>
        </is>
      </c>
      <c r="F70" s="59" t="inlineStr">
        <is>
          <t>Minor variance</t>
        </is>
      </c>
      <c r="G70" s="59" t="inlineStr">
        <is>
          <t>Other</t>
        </is>
      </c>
      <c r="H70" s="59" t="n"/>
      <c r="I70" s="62" t="inlineStr">
        <is>
          <t>Approved</t>
        </is>
      </c>
      <c r="J70" s="59" t="inlineStr">
        <is>
          <t>Approved</t>
        </is>
      </c>
      <c r="K70" s="63" t="n">
        <v>45442</v>
      </c>
      <c r="L70" s="63" t="n">
        <v>45511</v>
      </c>
      <c r="M70" s="64" t="n">
        <v>10</v>
      </c>
      <c r="N70" s="59" t="n"/>
      <c r="O70" s="59" t="n"/>
      <c r="P70" s="65" t="inlineStr">
        <is>
          <t>To convert the existing two-storey commercial building from an eating establishment into a wellness centre (with a café) on the ground floor and second floor. Also, the existing front yard patio will be reconstructed and enlarged.</t>
        </is>
      </c>
      <c r="Q70" s="61" t="inlineStr">
        <is>
          <t>Map</t>
        </is>
      </c>
      <c r="R70" s="61" t="inlineStr">
        <is>
          <t>Raw data</t>
        </is>
      </c>
    </row>
    <row r="71" ht="42" customHeight="1">
      <c r="A71" s="59" t="inlineStr">
        <is>
          <t>65 Bristol Ave</t>
        </is>
      </c>
      <c r="B71" s="60" t="n">
        <v>224</v>
      </c>
      <c r="C71" s="59" t="inlineStr">
        <is>
          <t>402 Salem Ave N</t>
        </is>
      </c>
      <c r="D71" s="59" t="inlineStr">
        <is>
          <t>A0647/20TEY</t>
        </is>
      </c>
      <c r="E71" s="61" t="inlineStr">
        <is>
          <t>Request from CoA staff</t>
        </is>
      </c>
      <c r="F71" s="59" t="inlineStr">
        <is>
          <t>Minor variance</t>
        </is>
      </c>
      <c r="G71" s="59" t="inlineStr">
        <is>
          <t>New house</t>
        </is>
      </c>
      <c r="H71" s="59" t="n"/>
      <c r="I71" s="62" t="inlineStr">
        <is>
          <t>Approved</t>
        </is>
      </c>
      <c r="J71" s="59" t="inlineStr">
        <is>
          <t>Approved</t>
        </is>
      </c>
      <c r="K71" s="63" t="n">
        <v>44036</v>
      </c>
      <c r="L71" s="63" t="n">
        <v>44216</v>
      </c>
      <c r="M71" s="64" t="n">
        <v>26</v>
      </c>
      <c r="N71" s="59" t="n"/>
      <c r="O71" s="59" t="n"/>
      <c r="P71" s="65" t="inlineStr">
        <is>
          <t>To convert the single storey storage building into a detached house by performing interior alterations and constructing an integral garage, second and third storeys and a third floor terrace.</t>
        </is>
      </c>
      <c r="Q71" s="61" t="inlineStr">
        <is>
          <t>Map</t>
        </is>
      </c>
      <c r="R71" s="61" t="inlineStr">
        <is>
          <t>Raw data</t>
        </is>
      </c>
    </row>
    <row r="72" ht="29" customHeight="1">
      <c r="A72" s="59" t="inlineStr">
        <is>
          <t>65 Bristol Ave</t>
        </is>
      </c>
      <c r="B72" s="60" t="n">
        <v>224</v>
      </c>
      <c r="C72" s="59" t="inlineStr">
        <is>
          <t>402 Salem Ave N</t>
        </is>
      </c>
      <c r="D72" s="59" t="inlineStr">
        <is>
          <t>B0104/19TEY</t>
        </is>
      </c>
      <c r="E72" s="61" t="inlineStr">
        <is>
          <t>Request from CoA staff</t>
        </is>
      </c>
      <c r="F72" s="59" t="inlineStr">
        <is>
          <t>Consent</t>
        </is>
      </c>
      <c r="G72" s="59" t="inlineStr">
        <is>
          <t>Severance or consent</t>
        </is>
      </c>
      <c r="H72" s="59" t="n"/>
      <c r="I72" s="62" t="inlineStr">
        <is>
          <t>Approved</t>
        </is>
      </c>
      <c r="J72" s="59" t="inlineStr">
        <is>
          <t>Approved</t>
        </is>
      </c>
      <c r="K72" s="63" t="n">
        <v>43775</v>
      </c>
      <c r="L72" s="63" t="n">
        <v>43901</v>
      </c>
      <c r="M72" s="64" t="n">
        <v>18</v>
      </c>
      <c r="N72" s="59" t="n"/>
      <c r="O72" s="59" t="n"/>
      <c r="P72" s="65" t="inlineStr">
        <is>
          <t>To obtain consent to create an easement/right-of-way for access and limiting distance purposes.</t>
        </is>
      </c>
      <c r="Q72" s="61" t="inlineStr">
        <is>
          <t>Map</t>
        </is>
      </c>
      <c r="R72" s="61" t="inlineStr">
        <is>
          <t>Raw data</t>
        </is>
      </c>
    </row>
    <row r="73" ht="16" customHeight="1">
      <c r="A73" s="59" t="inlineStr">
        <is>
          <t>65 Bristol Ave</t>
        </is>
      </c>
      <c r="B73" s="60" t="n">
        <v>229</v>
      </c>
      <c r="C73" s="59" t="inlineStr">
        <is>
          <t>217 Geary Ave</t>
        </is>
      </c>
      <c r="D73" s="59" t="inlineStr">
        <is>
          <t>A0403/18EYK</t>
        </is>
      </c>
      <c r="E73" s="61" t="inlineStr">
        <is>
          <t>Request from CoA staff</t>
        </is>
      </c>
      <c r="F73" s="59" t="inlineStr">
        <is>
          <t>Minor variance</t>
        </is>
      </c>
      <c r="G73" s="59" t="inlineStr">
        <is>
          <t>Other</t>
        </is>
      </c>
      <c r="H73" s="59" t="n"/>
      <c r="I73" s="62" t="inlineStr">
        <is>
          <t>Approved</t>
        </is>
      </c>
      <c r="J73" s="59" t="inlineStr">
        <is>
          <t>Approved</t>
        </is>
      </c>
      <c r="K73" s="63" t="n">
        <v>43238</v>
      </c>
      <c r="L73" s="63" t="n">
        <v>43286</v>
      </c>
      <c r="M73" s="64" t="n">
        <v>7</v>
      </c>
      <c r="N73" s="59" t="n"/>
      <c r="O73" s="59" t="n"/>
      <c r="P73" s="65" t="inlineStr">
        <is>
          <t>To construct an outdoor patio.</t>
        </is>
      </c>
      <c r="Q73" s="61" t="inlineStr">
        <is>
          <t>Map</t>
        </is>
      </c>
      <c r="R73" s="61" t="inlineStr">
        <is>
          <t>Raw data</t>
        </is>
      </c>
    </row>
    <row r="74" ht="29" customHeight="1">
      <c r="A74" s="59" t="inlineStr">
        <is>
          <t>65 Bristol Ave</t>
        </is>
      </c>
      <c r="B74" s="60" t="n">
        <v>249</v>
      </c>
      <c r="C74" s="59" t="inlineStr">
        <is>
          <t>229 Geary Ave</t>
        </is>
      </c>
      <c r="D74" s="59" t="inlineStr">
        <is>
          <t>A0760/20TEY</t>
        </is>
      </c>
      <c r="E74" s="61" t="inlineStr">
        <is>
          <t>Request from CoA staff</t>
        </is>
      </c>
      <c r="F74" s="59" t="inlineStr">
        <is>
          <t>Minor variance</t>
        </is>
      </c>
      <c r="G74" s="59" t="inlineStr">
        <is>
          <t>Other</t>
        </is>
      </c>
      <c r="H74" s="59" t="n"/>
      <c r="I74" s="62" t="inlineStr">
        <is>
          <t>Approved</t>
        </is>
      </c>
      <c r="J74" s="59" t="inlineStr">
        <is>
          <t>Approved</t>
        </is>
      </c>
      <c r="K74" s="63" t="n">
        <v>44063</v>
      </c>
      <c r="L74" s="63" t="n">
        <v>44152</v>
      </c>
      <c r="M74" s="64" t="n">
        <v>13</v>
      </c>
      <c r="N74" s="59" t="n"/>
      <c r="O74" s="59" t="n"/>
      <c r="P74" s="65" t="inlineStr">
        <is>
          <t>To construct an outdoor patio on the north side of the existing restaurant.</t>
        </is>
      </c>
      <c r="Q74" s="61" t="inlineStr">
        <is>
          <t>Map</t>
        </is>
      </c>
      <c r="R74" s="61" t="inlineStr">
        <is>
          <t>Raw data</t>
        </is>
      </c>
    </row>
  </sheetData>
  <mergeCells count="2">
    <mergeCell ref="A2:R2"/>
    <mergeCell ref="A1:R1"/>
  </mergeCells>
  <hyperlinks>
    <hyperlink ref="A3" location="'Summary'!A1" display="← Summary"/>
    <hyperlink xmlns:r="http://schemas.openxmlformats.org/officeDocument/2006/relationships" ref="E5" r:id="rId1"/>
    <hyperlink xmlns:r="http://schemas.openxmlformats.org/officeDocument/2006/relationships" ref="Q5" r:id="rId2"/>
    <hyperlink xmlns:r="http://schemas.openxmlformats.org/officeDocument/2006/relationships" ref="R5" r:id="rId3"/>
    <hyperlink xmlns:r="http://schemas.openxmlformats.org/officeDocument/2006/relationships" ref="E6" r:id="rId4"/>
    <hyperlink xmlns:r="http://schemas.openxmlformats.org/officeDocument/2006/relationships" ref="Q6" r:id="rId5"/>
    <hyperlink xmlns:r="http://schemas.openxmlformats.org/officeDocument/2006/relationships" ref="R6" r:id="rId6"/>
    <hyperlink xmlns:r="http://schemas.openxmlformats.org/officeDocument/2006/relationships" ref="E7" r:id="rId7"/>
    <hyperlink xmlns:r="http://schemas.openxmlformats.org/officeDocument/2006/relationships" ref="Q7" r:id="rId8"/>
    <hyperlink xmlns:r="http://schemas.openxmlformats.org/officeDocument/2006/relationships" ref="R7" r:id="rId9"/>
    <hyperlink xmlns:r="http://schemas.openxmlformats.org/officeDocument/2006/relationships" ref="E8" r:id="rId10"/>
    <hyperlink xmlns:r="http://schemas.openxmlformats.org/officeDocument/2006/relationships" ref="Q8" r:id="rId11"/>
    <hyperlink xmlns:r="http://schemas.openxmlformats.org/officeDocument/2006/relationships" ref="R8" r:id="rId12"/>
    <hyperlink xmlns:r="http://schemas.openxmlformats.org/officeDocument/2006/relationships" ref="E9" r:id="rId13"/>
    <hyperlink xmlns:r="http://schemas.openxmlformats.org/officeDocument/2006/relationships" ref="Q9" r:id="rId14"/>
    <hyperlink xmlns:r="http://schemas.openxmlformats.org/officeDocument/2006/relationships" ref="R9" r:id="rId15"/>
    <hyperlink xmlns:r="http://schemas.openxmlformats.org/officeDocument/2006/relationships" ref="E10" r:id="rId16"/>
    <hyperlink xmlns:r="http://schemas.openxmlformats.org/officeDocument/2006/relationships" ref="Q10" r:id="rId17"/>
    <hyperlink xmlns:r="http://schemas.openxmlformats.org/officeDocument/2006/relationships" ref="R10" r:id="rId18"/>
    <hyperlink xmlns:r="http://schemas.openxmlformats.org/officeDocument/2006/relationships" ref="E11" r:id="rId19"/>
    <hyperlink xmlns:r="http://schemas.openxmlformats.org/officeDocument/2006/relationships" ref="Q11" r:id="rId20"/>
    <hyperlink xmlns:r="http://schemas.openxmlformats.org/officeDocument/2006/relationships" ref="R11" r:id="rId21"/>
    <hyperlink xmlns:r="http://schemas.openxmlformats.org/officeDocument/2006/relationships" ref="E12" r:id="rId22"/>
    <hyperlink xmlns:r="http://schemas.openxmlformats.org/officeDocument/2006/relationships" ref="Q12" r:id="rId23"/>
    <hyperlink xmlns:r="http://schemas.openxmlformats.org/officeDocument/2006/relationships" ref="R12" r:id="rId24"/>
    <hyperlink xmlns:r="http://schemas.openxmlformats.org/officeDocument/2006/relationships" ref="E13" r:id="rId25"/>
    <hyperlink xmlns:r="http://schemas.openxmlformats.org/officeDocument/2006/relationships" ref="Q13" r:id="rId26"/>
    <hyperlink xmlns:r="http://schemas.openxmlformats.org/officeDocument/2006/relationships" ref="R13" r:id="rId27"/>
    <hyperlink xmlns:r="http://schemas.openxmlformats.org/officeDocument/2006/relationships" ref="E14" r:id="rId28"/>
    <hyperlink xmlns:r="http://schemas.openxmlformats.org/officeDocument/2006/relationships" ref="Q14" r:id="rId29"/>
    <hyperlink xmlns:r="http://schemas.openxmlformats.org/officeDocument/2006/relationships" ref="R14" r:id="rId30"/>
    <hyperlink xmlns:r="http://schemas.openxmlformats.org/officeDocument/2006/relationships" ref="E15" r:id="rId31"/>
    <hyperlink xmlns:r="http://schemas.openxmlformats.org/officeDocument/2006/relationships" ref="Q15" r:id="rId32"/>
    <hyperlink xmlns:r="http://schemas.openxmlformats.org/officeDocument/2006/relationships" ref="R15" r:id="rId33"/>
    <hyperlink xmlns:r="http://schemas.openxmlformats.org/officeDocument/2006/relationships" ref="E16" r:id="rId34"/>
    <hyperlink xmlns:r="http://schemas.openxmlformats.org/officeDocument/2006/relationships" ref="Q16" r:id="rId35"/>
    <hyperlink xmlns:r="http://schemas.openxmlformats.org/officeDocument/2006/relationships" ref="R16" r:id="rId36"/>
    <hyperlink xmlns:r="http://schemas.openxmlformats.org/officeDocument/2006/relationships" ref="E17" r:id="rId37"/>
    <hyperlink xmlns:r="http://schemas.openxmlformats.org/officeDocument/2006/relationships" ref="Q17" r:id="rId38"/>
    <hyperlink xmlns:r="http://schemas.openxmlformats.org/officeDocument/2006/relationships" ref="R17" r:id="rId39"/>
    <hyperlink xmlns:r="http://schemas.openxmlformats.org/officeDocument/2006/relationships" ref="E18" r:id="rId40"/>
    <hyperlink xmlns:r="http://schemas.openxmlformats.org/officeDocument/2006/relationships" ref="Q18" r:id="rId41"/>
    <hyperlink xmlns:r="http://schemas.openxmlformats.org/officeDocument/2006/relationships" ref="R18" r:id="rId42"/>
    <hyperlink xmlns:r="http://schemas.openxmlformats.org/officeDocument/2006/relationships" ref="E19" r:id="rId43"/>
    <hyperlink xmlns:r="http://schemas.openxmlformats.org/officeDocument/2006/relationships" ref="Q19" r:id="rId44"/>
    <hyperlink xmlns:r="http://schemas.openxmlformats.org/officeDocument/2006/relationships" ref="R19" r:id="rId45"/>
    <hyperlink xmlns:r="http://schemas.openxmlformats.org/officeDocument/2006/relationships" ref="E20" r:id="rId46"/>
    <hyperlink xmlns:r="http://schemas.openxmlformats.org/officeDocument/2006/relationships" ref="Q20" r:id="rId47"/>
    <hyperlink xmlns:r="http://schemas.openxmlformats.org/officeDocument/2006/relationships" ref="R20" r:id="rId48"/>
    <hyperlink xmlns:r="http://schemas.openxmlformats.org/officeDocument/2006/relationships" ref="E21" r:id="rId49"/>
    <hyperlink xmlns:r="http://schemas.openxmlformats.org/officeDocument/2006/relationships" ref="Q21" r:id="rId50"/>
    <hyperlink xmlns:r="http://schemas.openxmlformats.org/officeDocument/2006/relationships" ref="R21" r:id="rId51"/>
    <hyperlink xmlns:r="http://schemas.openxmlformats.org/officeDocument/2006/relationships" ref="E22" r:id="rId52"/>
    <hyperlink xmlns:r="http://schemas.openxmlformats.org/officeDocument/2006/relationships" ref="Q22" r:id="rId53"/>
    <hyperlink xmlns:r="http://schemas.openxmlformats.org/officeDocument/2006/relationships" ref="R22" r:id="rId54"/>
    <hyperlink xmlns:r="http://schemas.openxmlformats.org/officeDocument/2006/relationships" ref="E23" r:id="rId55"/>
    <hyperlink xmlns:r="http://schemas.openxmlformats.org/officeDocument/2006/relationships" ref="Q23" r:id="rId56"/>
    <hyperlink xmlns:r="http://schemas.openxmlformats.org/officeDocument/2006/relationships" ref="R23" r:id="rId57"/>
    <hyperlink xmlns:r="http://schemas.openxmlformats.org/officeDocument/2006/relationships" ref="E24" r:id="rId58"/>
    <hyperlink xmlns:r="http://schemas.openxmlformats.org/officeDocument/2006/relationships" ref="Q24" r:id="rId59"/>
    <hyperlink xmlns:r="http://schemas.openxmlformats.org/officeDocument/2006/relationships" ref="R24" r:id="rId60"/>
    <hyperlink xmlns:r="http://schemas.openxmlformats.org/officeDocument/2006/relationships" ref="E25" r:id="rId61"/>
    <hyperlink xmlns:r="http://schemas.openxmlformats.org/officeDocument/2006/relationships" ref="Q25" r:id="rId62"/>
    <hyperlink xmlns:r="http://schemas.openxmlformats.org/officeDocument/2006/relationships" ref="R25" r:id="rId63"/>
    <hyperlink xmlns:r="http://schemas.openxmlformats.org/officeDocument/2006/relationships" ref="E26" r:id="rId64"/>
    <hyperlink xmlns:r="http://schemas.openxmlformats.org/officeDocument/2006/relationships" ref="Q26" r:id="rId65"/>
    <hyperlink xmlns:r="http://schemas.openxmlformats.org/officeDocument/2006/relationships" ref="R26" r:id="rId66"/>
    <hyperlink xmlns:r="http://schemas.openxmlformats.org/officeDocument/2006/relationships" ref="E27" r:id="rId67"/>
    <hyperlink xmlns:r="http://schemas.openxmlformats.org/officeDocument/2006/relationships" ref="Q27" r:id="rId68"/>
    <hyperlink xmlns:r="http://schemas.openxmlformats.org/officeDocument/2006/relationships" ref="R27" r:id="rId69"/>
    <hyperlink xmlns:r="http://schemas.openxmlformats.org/officeDocument/2006/relationships" ref="E28" r:id="rId70"/>
    <hyperlink xmlns:r="http://schemas.openxmlformats.org/officeDocument/2006/relationships" ref="Q28" r:id="rId71"/>
    <hyperlink xmlns:r="http://schemas.openxmlformats.org/officeDocument/2006/relationships" ref="R28" r:id="rId72"/>
    <hyperlink xmlns:r="http://schemas.openxmlformats.org/officeDocument/2006/relationships" ref="E29" r:id="rId73"/>
    <hyperlink xmlns:r="http://schemas.openxmlformats.org/officeDocument/2006/relationships" ref="Q29" r:id="rId74"/>
    <hyperlink xmlns:r="http://schemas.openxmlformats.org/officeDocument/2006/relationships" ref="R29" r:id="rId75"/>
    <hyperlink xmlns:r="http://schemas.openxmlformats.org/officeDocument/2006/relationships" ref="E30" r:id="rId76"/>
    <hyperlink xmlns:r="http://schemas.openxmlformats.org/officeDocument/2006/relationships" ref="Q30" r:id="rId77"/>
    <hyperlink xmlns:r="http://schemas.openxmlformats.org/officeDocument/2006/relationships" ref="R30" r:id="rId78"/>
    <hyperlink xmlns:r="http://schemas.openxmlformats.org/officeDocument/2006/relationships" ref="E31" r:id="rId79"/>
    <hyperlink xmlns:r="http://schemas.openxmlformats.org/officeDocument/2006/relationships" ref="Q31" r:id="rId80"/>
    <hyperlink xmlns:r="http://schemas.openxmlformats.org/officeDocument/2006/relationships" ref="R31" r:id="rId81"/>
    <hyperlink xmlns:r="http://schemas.openxmlformats.org/officeDocument/2006/relationships" ref="E32" r:id="rId82"/>
    <hyperlink xmlns:r="http://schemas.openxmlformats.org/officeDocument/2006/relationships" ref="Q32" r:id="rId83"/>
    <hyperlink xmlns:r="http://schemas.openxmlformats.org/officeDocument/2006/relationships" ref="R32" r:id="rId84"/>
    <hyperlink xmlns:r="http://schemas.openxmlformats.org/officeDocument/2006/relationships" ref="E33" r:id="rId85"/>
    <hyperlink xmlns:r="http://schemas.openxmlformats.org/officeDocument/2006/relationships" ref="Q33" r:id="rId86"/>
    <hyperlink xmlns:r="http://schemas.openxmlformats.org/officeDocument/2006/relationships" ref="R33" r:id="rId87"/>
    <hyperlink xmlns:r="http://schemas.openxmlformats.org/officeDocument/2006/relationships" ref="E34" r:id="rId88"/>
    <hyperlink xmlns:r="http://schemas.openxmlformats.org/officeDocument/2006/relationships" ref="Q34" r:id="rId89"/>
    <hyperlink xmlns:r="http://schemas.openxmlformats.org/officeDocument/2006/relationships" ref="R34" r:id="rId90"/>
    <hyperlink xmlns:r="http://schemas.openxmlformats.org/officeDocument/2006/relationships" ref="E35" r:id="rId91"/>
    <hyperlink xmlns:r="http://schemas.openxmlformats.org/officeDocument/2006/relationships" ref="Q35" r:id="rId92"/>
    <hyperlink xmlns:r="http://schemas.openxmlformats.org/officeDocument/2006/relationships" ref="R35" r:id="rId93"/>
    <hyperlink xmlns:r="http://schemas.openxmlformats.org/officeDocument/2006/relationships" ref="E36" r:id="rId94"/>
    <hyperlink xmlns:r="http://schemas.openxmlformats.org/officeDocument/2006/relationships" ref="Q36" r:id="rId95"/>
    <hyperlink xmlns:r="http://schemas.openxmlformats.org/officeDocument/2006/relationships" ref="R36" r:id="rId96"/>
    <hyperlink xmlns:r="http://schemas.openxmlformats.org/officeDocument/2006/relationships" ref="E37" r:id="rId97"/>
    <hyperlink xmlns:r="http://schemas.openxmlformats.org/officeDocument/2006/relationships" ref="Q37" r:id="rId98"/>
    <hyperlink xmlns:r="http://schemas.openxmlformats.org/officeDocument/2006/relationships" ref="R37" r:id="rId99"/>
    <hyperlink xmlns:r="http://schemas.openxmlformats.org/officeDocument/2006/relationships" ref="E38" r:id="rId100"/>
    <hyperlink xmlns:r="http://schemas.openxmlformats.org/officeDocument/2006/relationships" ref="Q38" r:id="rId101"/>
    <hyperlink xmlns:r="http://schemas.openxmlformats.org/officeDocument/2006/relationships" ref="R38" r:id="rId102"/>
    <hyperlink xmlns:r="http://schemas.openxmlformats.org/officeDocument/2006/relationships" ref="E39" r:id="rId103"/>
    <hyperlink xmlns:r="http://schemas.openxmlformats.org/officeDocument/2006/relationships" ref="Q39" r:id="rId104"/>
    <hyperlink xmlns:r="http://schemas.openxmlformats.org/officeDocument/2006/relationships" ref="R39" r:id="rId105"/>
    <hyperlink xmlns:r="http://schemas.openxmlformats.org/officeDocument/2006/relationships" ref="E40" r:id="rId106"/>
    <hyperlink xmlns:r="http://schemas.openxmlformats.org/officeDocument/2006/relationships" ref="Q40" r:id="rId107"/>
    <hyperlink xmlns:r="http://schemas.openxmlformats.org/officeDocument/2006/relationships" ref="R40" r:id="rId108"/>
    <hyperlink xmlns:r="http://schemas.openxmlformats.org/officeDocument/2006/relationships" ref="E41" r:id="rId109"/>
    <hyperlink xmlns:r="http://schemas.openxmlformats.org/officeDocument/2006/relationships" ref="Q41" r:id="rId110"/>
    <hyperlink xmlns:r="http://schemas.openxmlformats.org/officeDocument/2006/relationships" ref="R41" r:id="rId111"/>
    <hyperlink xmlns:r="http://schemas.openxmlformats.org/officeDocument/2006/relationships" ref="E42" r:id="rId112"/>
    <hyperlink xmlns:r="http://schemas.openxmlformats.org/officeDocument/2006/relationships" ref="Q42" r:id="rId113"/>
    <hyperlink xmlns:r="http://schemas.openxmlformats.org/officeDocument/2006/relationships" ref="R42" r:id="rId114"/>
    <hyperlink xmlns:r="http://schemas.openxmlformats.org/officeDocument/2006/relationships" ref="E43" r:id="rId115"/>
    <hyperlink xmlns:r="http://schemas.openxmlformats.org/officeDocument/2006/relationships" ref="Q43" r:id="rId116"/>
    <hyperlink xmlns:r="http://schemas.openxmlformats.org/officeDocument/2006/relationships" ref="R43" r:id="rId117"/>
    <hyperlink xmlns:r="http://schemas.openxmlformats.org/officeDocument/2006/relationships" ref="E44" r:id="rId118"/>
    <hyperlink xmlns:r="http://schemas.openxmlformats.org/officeDocument/2006/relationships" ref="Q44" r:id="rId119"/>
    <hyperlink xmlns:r="http://schemas.openxmlformats.org/officeDocument/2006/relationships" ref="R44" r:id="rId120"/>
    <hyperlink xmlns:r="http://schemas.openxmlformats.org/officeDocument/2006/relationships" ref="E45" r:id="rId121"/>
    <hyperlink xmlns:r="http://schemas.openxmlformats.org/officeDocument/2006/relationships" ref="Q45" r:id="rId122"/>
    <hyperlink xmlns:r="http://schemas.openxmlformats.org/officeDocument/2006/relationships" ref="R45" r:id="rId123"/>
    <hyperlink xmlns:r="http://schemas.openxmlformats.org/officeDocument/2006/relationships" ref="E46" r:id="rId124"/>
    <hyperlink xmlns:r="http://schemas.openxmlformats.org/officeDocument/2006/relationships" ref="Q46" r:id="rId125"/>
    <hyperlink xmlns:r="http://schemas.openxmlformats.org/officeDocument/2006/relationships" ref="R46" r:id="rId126"/>
    <hyperlink xmlns:r="http://schemas.openxmlformats.org/officeDocument/2006/relationships" ref="E47" r:id="rId127"/>
    <hyperlink xmlns:r="http://schemas.openxmlformats.org/officeDocument/2006/relationships" ref="Q47" r:id="rId128"/>
    <hyperlink xmlns:r="http://schemas.openxmlformats.org/officeDocument/2006/relationships" ref="R47" r:id="rId129"/>
    <hyperlink xmlns:r="http://schemas.openxmlformats.org/officeDocument/2006/relationships" ref="E48" r:id="rId130"/>
    <hyperlink xmlns:r="http://schemas.openxmlformats.org/officeDocument/2006/relationships" ref="Q48" r:id="rId131"/>
    <hyperlink xmlns:r="http://schemas.openxmlformats.org/officeDocument/2006/relationships" ref="R48" r:id="rId132"/>
    <hyperlink xmlns:r="http://schemas.openxmlformats.org/officeDocument/2006/relationships" ref="E49" r:id="rId133"/>
    <hyperlink xmlns:r="http://schemas.openxmlformats.org/officeDocument/2006/relationships" ref="Q49" r:id="rId134"/>
    <hyperlink xmlns:r="http://schemas.openxmlformats.org/officeDocument/2006/relationships" ref="R49" r:id="rId135"/>
    <hyperlink xmlns:r="http://schemas.openxmlformats.org/officeDocument/2006/relationships" ref="E50" r:id="rId136"/>
    <hyperlink xmlns:r="http://schemas.openxmlformats.org/officeDocument/2006/relationships" ref="Q50" r:id="rId137"/>
    <hyperlink xmlns:r="http://schemas.openxmlformats.org/officeDocument/2006/relationships" ref="R50" r:id="rId138"/>
    <hyperlink xmlns:r="http://schemas.openxmlformats.org/officeDocument/2006/relationships" ref="E51" r:id="rId139"/>
    <hyperlink xmlns:r="http://schemas.openxmlformats.org/officeDocument/2006/relationships" ref="Q51" r:id="rId140"/>
    <hyperlink xmlns:r="http://schemas.openxmlformats.org/officeDocument/2006/relationships" ref="R51" r:id="rId141"/>
    <hyperlink xmlns:r="http://schemas.openxmlformats.org/officeDocument/2006/relationships" ref="E52" r:id="rId142"/>
    <hyperlink xmlns:r="http://schemas.openxmlformats.org/officeDocument/2006/relationships" ref="Q52" r:id="rId143"/>
    <hyperlink xmlns:r="http://schemas.openxmlformats.org/officeDocument/2006/relationships" ref="R52" r:id="rId144"/>
    <hyperlink xmlns:r="http://schemas.openxmlformats.org/officeDocument/2006/relationships" ref="E53" r:id="rId145"/>
    <hyperlink xmlns:r="http://schemas.openxmlformats.org/officeDocument/2006/relationships" ref="Q53" r:id="rId146"/>
    <hyperlink xmlns:r="http://schemas.openxmlformats.org/officeDocument/2006/relationships" ref="R53" r:id="rId147"/>
    <hyperlink xmlns:r="http://schemas.openxmlformats.org/officeDocument/2006/relationships" ref="E54" r:id="rId148"/>
    <hyperlink xmlns:r="http://schemas.openxmlformats.org/officeDocument/2006/relationships" ref="Q54" r:id="rId149"/>
    <hyperlink xmlns:r="http://schemas.openxmlformats.org/officeDocument/2006/relationships" ref="R54" r:id="rId150"/>
    <hyperlink xmlns:r="http://schemas.openxmlformats.org/officeDocument/2006/relationships" ref="E55" r:id="rId151"/>
    <hyperlink xmlns:r="http://schemas.openxmlformats.org/officeDocument/2006/relationships" ref="Q55" r:id="rId152"/>
    <hyperlink xmlns:r="http://schemas.openxmlformats.org/officeDocument/2006/relationships" ref="R55" r:id="rId153"/>
    <hyperlink xmlns:r="http://schemas.openxmlformats.org/officeDocument/2006/relationships" ref="E56" r:id="rId154"/>
    <hyperlink xmlns:r="http://schemas.openxmlformats.org/officeDocument/2006/relationships" ref="Q56" r:id="rId155"/>
    <hyperlink xmlns:r="http://schemas.openxmlformats.org/officeDocument/2006/relationships" ref="R56" r:id="rId156"/>
    <hyperlink xmlns:r="http://schemas.openxmlformats.org/officeDocument/2006/relationships" ref="E57" r:id="rId157"/>
    <hyperlink xmlns:r="http://schemas.openxmlformats.org/officeDocument/2006/relationships" ref="Q57" r:id="rId158"/>
    <hyperlink xmlns:r="http://schemas.openxmlformats.org/officeDocument/2006/relationships" ref="R57" r:id="rId159"/>
    <hyperlink xmlns:r="http://schemas.openxmlformats.org/officeDocument/2006/relationships" ref="E58" r:id="rId160"/>
    <hyperlink xmlns:r="http://schemas.openxmlformats.org/officeDocument/2006/relationships" ref="Q58" r:id="rId161"/>
    <hyperlink xmlns:r="http://schemas.openxmlformats.org/officeDocument/2006/relationships" ref="R58" r:id="rId162"/>
    <hyperlink xmlns:r="http://schemas.openxmlformats.org/officeDocument/2006/relationships" ref="E59" r:id="rId163"/>
    <hyperlink xmlns:r="http://schemas.openxmlformats.org/officeDocument/2006/relationships" ref="Q59" r:id="rId164"/>
    <hyperlink xmlns:r="http://schemas.openxmlformats.org/officeDocument/2006/relationships" ref="R59" r:id="rId165"/>
    <hyperlink xmlns:r="http://schemas.openxmlformats.org/officeDocument/2006/relationships" ref="E60" r:id="rId166"/>
    <hyperlink xmlns:r="http://schemas.openxmlformats.org/officeDocument/2006/relationships" ref="Q60" r:id="rId167"/>
    <hyperlink xmlns:r="http://schemas.openxmlformats.org/officeDocument/2006/relationships" ref="E61" r:id="rId168"/>
    <hyperlink xmlns:r="http://schemas.openxmlformats.org/officeDocument/2006/relationships" ref="Q61" r:id="rId169"/>
    <hyperlink xmlns:r="http://schemas.openxmlformats.org/officeDocument/2006/relationships" ref="R61" r:id="rId170"/>
    <hyperlink xmlns:r="http://schemas.openxmlformats.org/officeDocument/2006/relationships" ref="E62" r:id="rId171"/>
    <hyperlink xmlns:r="http://schemas.openxmlformats.org/officeDocument/2006/relationships" ref="Q62" r:id="rId172"/>
    <hyperlink xmlns:r="http://schemas.openxmlformats.org/officeDocument/2006/relationships" ref="R62" r:id="rId173"/>
    <hyperlink xmlns:r="http://schemas.openxmlformats.org/officeDocument/2006/relationships" ref="E63" r:id="rId174"/>
    <hyperlink xmlns:r="http://schemas.openxmlformats.org/officeDocument/2006/relationships" ref="Q63" r:id="rId175"/>
    <hyperlink xmlns:r="http://schemas.openxmlformats.org/officeDocument/2006/relationships" ref="E64" r:id="rId176"/>
    <hyperlink xmlns:r="http://schemas.openxmlformats.org/officeDocument/2006/relationships" ref="Q64" r:id="rId177"/>
    <hyperlink xmlns:r="http://schemas.openxmlformats.org/officeDocument/2006/relationships" ref="R64" r:id="rId178"/>
    <hyperlink xmlns:r="http://schemas.openxmlformats.org/officeDocument/2006/relationships" ref="E65" r:id="rId179"/>
    <hyperlink xmlns:r="http://schemas.openxmlformats.org/officeDocument/2006/relationships" ref="Q65" r:id="rId180"/>
    <hyperlink xmlns:r="http://schemas.openxmlformats.org/officeDocument/2006/relationships" ref="R65" r:id="rId181"/>
    <hyperlink xmlns:r="http://schemas.openxmlformats.org/officeDocument/2006/relationships" ref="E66" r:id="rId182"/>
    <hyperlink xmlns:r="http://schemas.openxmlformats.org/officeDocument/2006/relationships" ref="Q66" r:id="rId183"/>
    <hyperlink xmlns:r="http://schemas.openxmlformats.org/officeDocument/2006/relationships" ref="R66" r:id="rId184"/>
    <hyperlink xmlns:r="http://schemas.openxmlformats.org/officeDocument/2006/relationships" ref="E67" r:id="rId185"/>
    <hyperlink xmlns:r="http://schemas.openxmlformats.org/officeDocument/2006/relationships" ref="Q67" r:id="rId186"/>
    <hyperlink xmlns:r="http://schemas.openxmlformats.org/officeDocument/2006/relationships" ref="R67" r:id="rId187"/>
    <hyperlink xmlns:r="http://schemas.openxmlformats.org/officeDocument/2006/relationships" ref="E68" r:id="rId188"/>
    <hyperlink xmlns:r="http://schemas.openxmlformats.org/officeDocument/2006/relationships" ref="Q68" r:id="rId189"/>
    <hyperlink xmlns:r="http://schemas.openxmlformats.org/officeDocument/2006/relationships" ref="R68" r:id="rId190"/>
    <hyperlink xmlns:r="http://schemas.openxmlformats.org/officeDocument/2006/relationships" ref="E69" r:id="rId191"/>
    <hyperlink xmlns:r="http://schemas.openxmlformats.org/officeDocument/2006/relationships" ref="Q69" r:id="rId192"/>
    <hyperlink xmlns:r="http://schemas.openxmlformats.org/officeDocument/2006/relationships" ref="R69" r:id="rId193"/>
    <hyperlink xmlns:r="http://schemas.openxmlformats.org/officeDocument/2006/relationships" ref="E70" r:id="rId194"/>
    <hyperlink xmlns:r="http://schemas.openxmlformats.org/officeDocument/2006/relationships" ref="Q70" r:id="rId195"/>
    <hyperlink xmlns:r="http://schemas.openxmlformats.org/officeDocument/2006/relationships" ref="R70" r:id="rId196"/>
    <hyperlink xmlns:r="http://schemas.openxmlformats.org/officeDocument/2006/relationships" ref="E71" r:id="rId197"/>
    <hyperlink xmlns:r="http://schemas.openxmlformats.org/officeDocument/2006/relationships" ref="Q71" r:id="rId198"/>
    <hyperlink xmlns:r="http://schemas.openxmlformats.org/officeDocument/2006/relationships" ref="R71" r:id="rId199"/>
    <hyperlink xmlns:r="http://schemas.openxmlformats.org/officeDocument/2006/relationships" ref="E72" r:id="rId200"/>
    <hyperlink xmlns:r="http://schemas.openxmlformats.org/officeDocument/2006/relationships" ref="Q72" r:id="rId201"/>
    <hyperlink xmlns:r="http://schemas.openxmlformats.org/officeDocument/2006/relationships" ref="R72" r:id="rId202"/>
    <hyperlink xmlns:r="http://schemas.openxmlformats.org/officeDocument/2006/relationships" ref="E73" r:id="rId203"/>
    <hyperlink xmlns:r="http://schemas.openxmlformats.org/officeDocument/2006/relationships" ref="Q73" r:id="rId204"/>
    <hyperlink xmlns:r="http://schemas.openxmlformats.org/officeDocument/2006/relationships" ref="R73" r:id="rId205"/>
    <hyperlink xmlns:r="http://schemas.openxmlformats.org/officeDocument/2006/relationships" ref="E74" r:id="rId206"/>
    <hyperlink xmlns:r="http://schemas.openxmlformats.org/officeDocument/2006/relationships" ref="Q74" r:id="rId207"/>
    <hyperlink xmlns:r="http://schemas.openxmlformats.org/officeDocument/2006/relationships" ref="R74" r:id="rId208"/>
  </hyperlinks>
  <pageMargins left="0.4" right="0.4" top="0.5" bottom="0.5" header="0.5" footer="0.5"/>
  <pageSetup orientation="landscape" paperSize="1" fitToHeight="0" fitToWidth="1"/>
  <headerFooter>
    <oddHeader>&amp;R&amp;8 &amp;K8A7E72Parcis · Evaluation copy</oddHeader>
    <oddFooter>&amp;L&amp;8 Parcis · © 2026 Joshua Seaton. All rights reserved. Evaluation copy.&amp;C&amp;8 &amp;A&amp;R&amp;8 Page &amp;P of &amp;N</oddFooter>
    <evenHeader/>
    <evenFooter/>
    <firstHeader/>
    <firstFooter/>
  </headerFooter>
  <tableParts count="1">
    <tablePart xmlns:r="http://schemas.openxmlformats.org/officeDocument/2006/relationships" r:id="rId209"/>
  </tableParts>
</worksheet>
</file>

<file path=xl/worksheets/sheet5.xml><?xml version="1.0" encoding="utf-8"?>
<worksheet xmlns="http://schemas.openxmlformats.org/spreadsheetml/2006/main">
  <sheetPr>
    <tabColor rgb="008A7E72"/>
    <outlinePr summaryBelow="1" summaryRight="1"/>
    <pageSetUpPr fitToPage="1"/>
  </sheetPr>
  <dimension ref="A1:S39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22" customWidth="1" min="3" max="3"/>
    <col width="12" customWidth="1" min="4" max="4"/>
    <col width="22" customWidth="1" min="5" max="5"/>
    <col width="20" customWidth="1" min="6" max="6"/>
    <col width="26" customWidth="1" min="7" max="7"/>
    <col width="18" customWidth="1" min="8" max="8"/>
    <col width="16" customWidth="1" min="9" max="9"/>
    <col width="12" customWidth="1" min="10" max="10"/>
    <col width="12" customWidth="1" min="11" max="11"/>
    <col width="12" customWidth="1" min="12" max="12"/>
    <col width="13" customWidth="1" min="13" max="13"/>
    <col width="18" customWidth="1" min="14" max="14"/>
    <col width="7" customWidth="1" min="15" max="15"/>
    <col width="16" customWidth="1" min="16" max="16"/>
    <col width="64" customWidth="1" min="17" max="17"/>
    <col width="8" customWidth="1" min="18" max="18"/>
    <col width="12" customWidth="1" min="19" max="19"/>
  </cols>
  <sheetData>
    <row r="1" ht="34" customHeight="1">
      <c r="A1" s="1" t="inlineStr">
        <is>
          <t>Building-permit projects near each lot</t>
        </is>
      </c>
    </row>
    <row r="2" ht="34" customHeight="1">
      <c r="A2" s="56" t="inlineStr">
        <is>
          <t>Permits grouped into projects by permit-number root. Documents opens the permit status search while the City still lists the permit, else a building records request; Raw City data opens the Open Data rows.  ·  Parcis · © 2026 Joshua Seaton. All rights reserved. Evaluation copy.</t>
        </is>
      </c>
    </row>
    <row r="3" ht="20" customHeight="1">
      <c r="A3" s="57" t="inlineStr">
        <is>
          <t>← Summary</t>
        </is>
      </c>
    </row>
    <row r="4" ht="30" customHeight="1">
      <c r="A4" s="58" t="inlineStr">
        <is>
          <t>Lot</t>
        </is>
      </c>
      <c r="B4" s="58" t="inlineStr">
        <is>
          <t>Dist. (m)</t>
        </is>
      </c>
      <c r="C4" s="58" t="inlineStr">
        <is>
          <t>Address</t>
        </is>
      </c>
      <c r="D4" s="58" t="inlineStr">
        <is>
          <t>Permit</t>
        </is>
      </c>
      <c r="E4" s="58" t="inlineStr">
        <is>
          <t>Documents</t>
        </is>
      </c>
      <c r="F4" s="58" t="inlineStr">
        <is>
          <t>Category</t>
        </is>
      </c>
      <c r="G4" s="58" t="inlineStr">
        <is>
          <t>Permit types</t>
        </is>
      </c>
      <c r="H4" s="58" t="inlineStr">
        <is>
          <t>Structure</t>
        </is>
      </c>
      <c r="I4" s="58" t="inlineStr">
        <is>
          <t>Status</t>
        </is>
      </c>
      <c r="J4" s="58" t="inlineStr">
        <is>
          <t>Applied</t>
        </is>
      </c>
      <c r="K4" s="58" t="inlineStr">
        <is>
          <t>Issued</t>
        </is>
      </c>
      <c r="L4" s="58" t="inlineStr">
        <is>
          <t>Completed</t>
        </is>
      </c>
      <c r="M4" s="58" t="inlineStr">
        <is>
          <t>Est. cost</t>
        </is>
      </c>
      <c r="N4" s="58" t="inlineStr">
        <is>
          <t>Cost note</t>
        </is>
      </c>
      <c r="O4" s="58" t="inlineStr">
        <is>
          <t>Units</t>
        </is>
      </c>
      <c r="P4" s="58" t="inlineStr">
        <is>
          <t>Cites variance</t>
        </is>
      </c>
      <c r="Q4" s="58" t="inlineStr">
        <is>
          <t>Description</t>
        </is>
      </c>
      <c r="R4" s="58" t="inlineStr">
        <is>
          <t>Map</t>
        </is>
      </c>
      <c r="S4" s="58" t="inlineStr">
        <is>
          <t>Raw City data</t>
        </is>
      </c>
    </row>
    <row r="5" ht="55" customHeight="1">
      <c r="A5" s="59" t="inlineStr">
        <is>
          <t>32 Ardmore Rd</t>
        </is>
      </c>
      <c r="B5" s="60" t="n">
        <v>21</v>
      </c>
      <c r="C5" s="59" t="inlineStr">
        <is>
          <t>200 Vesta Dr</t>
        </is>
      </c>
      <c r="D5" s="59" t="inlineStr">
        <is>
          <t>18 269470</t>
        </is>
      </c>
      <c r="E5" s="61" t="inlineStr">
        <is>
          <t>Building records request</t>
        </is>
      </c>
      <c r="F5" s="59" t="inlineStr">
        <is>
          <t>New building</t>
        </is>
      </c>
      <c r="G5" s="59" t="inlineStr">
        <is>
          <t>Mechanical(MS); Plumbing(PS); New Houses; Drain and Site Service</t>
        </is>
      </c>
      <c r="H5" s="59" t="inlineStr">
        <is>
          <t>SFD - Detached</t>
        </is>
      </c>
      <c r="I5" s="59" t="inlineStr">
        <is>
          <t>closed</t>
        </is>
      </c>
      <c r="J5" s="63" t="n">
        <v>43578</v>
      </c>
      <c r="K5" s="63" t="n">
        <v>43579</v>
      </c>
      <c r="L5" s="63" t="n">
        <v>44165</v>
      </c>
      <c r="M5" s="70" t="n">
        <v>1550000</v>
      </c>
      <c r="N5" s="59" t="n"/>
      <c r="O5" s="64" t="n">
        <v>1</v>
      </c>
      <c r="P5" s="59" t="n"/>
      <c r="Q5" s="65" t="inlineStr">
        <is>
          <t>Revision 01 - revise foundation - footings to grade beams with helical pier due to poor soil conditions [Proposal to demolish existing dwelling and construct new 2 storey Single Family Dwelling with integral garage and a car lift in basement]</t>
        </is>
      </c>
      <c r="R5" s="61" t="inlineStr">
        <is>
          <t>Map</t>
        </is>
      </c>
      <c r="S5" s="61" t="inlineStr">
        <is>
          <t>Raw data</t>
        </is>
      </c>
    </row>
    <row r="6" ht="29" customHeight="1">
      <c r="A6" s="59" t="inlineStr">
        <is>
          <t>32 Ardmore Rd</t>
        </is>
      </c>
      <c r="B6" s="60" t="n">
        <v>21</v>
      </c>
      <c r="C6" s="59" t="inlineStr">
        <is>
          <t>200 Vesta Dr</t>
        </is>
      </c>
      <c r="D6" s="59" t="inlineStr">
        <is>
          <t>18 269479</t>
        </is>
      </c>
      <c r="E6" s="61" t="inlineStr">
        <is>
          <t>Building records request</t>
        </is>
      </c>
      <c r="F6" s="59" t="inlineStr">
        <is>
          <t>Demolition</t>
        </is>
      </c>
      <c r="G6" s="59" t="inlineStr">
        <is>
          <t>Demolition Folder (DM)</t>
        </is>
      </c>
      <c r="H6" s="59" t="inlineStr">
        <is>
          <t>SFD - Detached</t>
        </is>
      </c>
      <c r="I6" s="59" t="inlineStr">
        <is>
          <t>closed</t>
        </is>
      </c>
      <c r="J6" s="63" t="n">
        <v>43451</v>
      </c>
      <c r="K6" s="63" t="n">
        <v>43543</v>
      </c>
      <c r="L6" s="63" t="n">
        <v>43984</v>
      </c>
      <c r="M6" s="70" t="n"/>
      <c r="N6" s="59" t="inlineStr">
        <is>
          <t>Unreliable (zero or out of band)</t>
        </is>
      </c>
      <c r="O6" s="64" t="n"/>
      <c r="P6" s="59" t="n"/>
      <c r="Q6" s="65" t="inlineStr">
        <is>
          <t>Proposal to demolish existing dwelling and construct new 2 storey Single Family Dwelling with integral garage and a car lift in basement</t>
        </is>
      </c>
      <c r="R6" s="61" t="inlineStr">
        <is>
          <t>Map</t>
        </is>
      </c>
      <c r="S6" s="61" t="inlineStr">
        <is>
          <t>Raw data</t>
        </is>
      </c>
    </row>
    <row r="7" ht="16" customHeight="1">
      <c r="A7" s="59" t="inlineStr">
        <is>
          <t>32 Ardmore Rd</t>
        </is>
      </c>
      <c r="B7" s="60" t="n">
        <v>23</v>
      </c>
      <c r="C7" s="59" t="inlineStr">
        <is>
          <t>202 Vesta Dr</t>
        </is>
      </c>
      <c r="D7" s="59" t="inlineStr">
        <is>
          <t>16 249214</t>
        </is>
      </c>
      <c r="E7" s="61" t="inlineStr">
        <is>
          <t>Building records request</t>
        </is>
      </c>
      <c r="F7" s="59" t="inlineStr">
        <is>
          <t>Addition or alteration</t>
        </is>
      </c>
      <c r="G7" s="59" t="inlineStr">
        <is>
          <t>Small Residential Projects</t>
        </is>
      </c>
      <c r="H7" s="59" t="inlineStr">
        <is>
          <t>SFD - Detached</t>
        </is>
      </c>
      <c r="I7" s="59" t="inlineStr">
        <is>
          <t>closed</t>
        </is>
      </c>
      <c r="J7" s="63" t="n">
        <v>42683</v>
      </c>
      <c r="K7" s="63" t="n">
        <v>42703</v>
      </c>
      <c r="L7" s="63" t="n">
        <v>43054</v>
      </c>
      <c r="M7" s="70" t="n">
        <v>5000</v>
      </c>
      <c r="N7" s="59" t="n"/>
      <c r="O7" s="64" t="n"/>
      <c r="P7" s="59" t="n"/>
      <c r="Q7" s="65" t="inlineStr">
        <is>
          <t>Proposal to construct a wood deck.</t>
        </is>
      </c>
      <c r="R7" s="61" t="inlineStr">
        <is>
          <t>Map</t>
        </is>
      </c>
      <c r="S7" s="61" t="inlineStr">
        <is>
          <t>Raw data</t>
        </is>
      </c>
    </row>
    <row r="8" ht="16" customHeight="1">
      <c r="A8" s="59" t="inlineStr">
        <is>
          <t>32 Ardmore Rd</t>
        </is>
      </c>
      <c r="B8" s="60" t="n">
        <v>41</v>
      </c>
      <c r="C8" s="59" t="inlineStr">
        <is>
          <t>205 Glenayr Rd</t>
        </is>
      </c>
      <c r="D8" s="59" t="inlineStr">
        <is>
          <t>14 135787</t>
        </is>
      </c>
      <c r="E8" s="61" t="inlineStr">
        <is>
          <t>Building records request</t>
        </is>
      </c>
      <c r="F8" s="59" t="inlineStr">
        <is>
          <t>Demolition</t>
        </is>
      </c>
      <c r="G8" s="59" t="inlineStr">
        <is>
          <t>Demolition Folder (DM)</t>
        </is>
      </c>
      <c r="H8" s="59" t="inlineStr">
        <is>
          <t>SFD - Detached</t>
        </is>
      </c>
      <c r="I8" s="59" t="inlineStr">
        <is>
          <t>closed</t>
        </is>
      </c>
      <c r="J8" s="63" t="n">
        <v>41729</v>
      </c>
      <c r="K8" s="63" t="n">
        <v>41765</v>
      </c>
      <c r="L8" s="63" t="n">
        <v>42752</v>
      </c>
      <c r="M8" s="70" t="n"/>
      <c r="N8" s="59" t="inlineStr">
        <is>
          <t>Unreliable (zero or out of band)</t>
        </is>
      </c>
      <c r="O8" s="64" t="n"/>
      <c r="P8" s="59" t="n"/>
      <c r="Q8" s="65" t="inlineStr">
        <is>
          <t>Propoal to demolish existing 2 storey SFD-detached dwelling.</t>
        </is>
      </c>
      <c r="R8" s="61" t="inlineStr">
        <is>
          <t>Map</t>
        </is>
      </c>
      <c r="S8" s="61" t="inlineStr">
        <is>
          <t>Raw data</t>
        </is>
      </c>
    </row>
    <row r="9" ht="94" customHeight="1">
      <c r="A9" s="59" t="inlineStr">
        <is>
          <t>32 Ardmore Rd</t>
        </is>
      </c>
      <c r="B9" s="60" t="n">
        <v>41</v>
      </c>
      <c r="C9" s="59" t="inlineStr">
        <is>
          <t>205 Glenayr Rd</t>
        </is>
      </c>
      <c r="D9" s="59" t="inlineStr">
        <is>
          <t>14 135792</t>
        </is>
      </c>
      <c r="E9" s="61" t="inlineStr">
        <is>
          <t>Building records request</t>
        </is>
      </c>
      <c r="F9" s="59" t="inlineStr">
        <is>
          <t>New building</t>
        </is>
      </c>
      <c r="G9" s="59" t="inlineStr">
        <is>
          <t>New Houses; Drain and Site Service; Plumbing(PS)</t>
        </is>
      </c>
      <c r="H9" s="59" t="inlineStr">
        <is>
          <t>SFD - Detached</t>
        </is>
      </c>
      <c r="I9" s="59" t="inlineStr">
        <is>
          <t>under inspection</t>
        </is>
      </c>
      <c r="J9" s="63" t="n">
        <v>41729</v>
      </c>
      <c r="K9" s="63" t="n">
        <v>41765</v>
      </c>
      <c r="L9" s="63" t="n"/>
      <c r="M9" s="70" t="n">
        <v>1000000</v>
      </c>
      <c r="N9" s="59" t="n"/>
      <c r="O9" s="64" t="n">
        <v>1</v>
      </c>
      <c r="P9" s="59" t="n"/>
      <c r="Q9" s="65" t="inlineStr">
        <is>
          <t>Rev#1 - Revision to interior layout, equipment space in the attic, removal and relocation of a skylight and revision to rear retaining wall. Proposed New Pool is not part of this BLD permit. A separate POOL PERMIT is required. ORIG. BLD Scope of work: Construct New two storey Single Family Detached dwelling with internal parking, and rear basement walkout and rear deck. See also 14 135787 DEM, 12 123128 ZZC and 12 128775 MV.</t>
        </is>
      </c>
      <c r="R9" s="61" t="inlineStr">
        <is>
          <t>Map</t>
        </is>
      </c>
      <c r="S9" s="61" t="inlineStr">
        <is>
          <t>Raw data</t>
        </is>
      </c>
    </row>
    <row r="10" ht="29" customHeight="1">
      <c r="A10" s="59" t="inlineStr">
        <is>
          <t>32 Ardmore Rd</t>
        </is>
      </c>
      <c r="B10" s="60" t="n">
        <v>44</v>
      </c>
      <c r="C10" s="59" t="inlineStr">
        <is>
          <t>206 Vesta Dr</t>
        </is>
      </c>
      <c r="D10" s="59" t="inlineStr">
        <is>
          <t>02 162159</t>
        </is>
      </c>
      <c r="E10" s="61" t="inlineStr">
        <is>
          <t>Building records request</t>
        </is>
      </c>
      <c r="F10" s="59" t="inlineStr">
        <is>
          <t>New building</t>
        </is>
      </c>
      <c r="G10" s="59" t="inlineStr">
        <is>
          <t>Residential Building Permit</t>
        </is>
      </c>
      <c r="H10" s="59" t="inlineStr">
        <is>
          <t>SFD - Detached</t>
        </is>
      </c>
      <c r="I10" s="59" t="inlineStr">
        <is>
          <t>closed</t>
        </is>
      </c>
      <c r="J10" s="63" t="n">
        <v>37477</v>
      </c>
      <c r="K10" s="63" t="n">
        <v>37519</v>
      </c>
      <c r="L10" s="63" t="n">
        <v>44117</v>
      </c>
      <c r="M10" s="70" t="n">
        <v>400000</v>
      </c>
      <c r="N10" s="59" t="n"/>
      <c r="O10" s="64" t="n"/>
      <c r="P10" s="59" t="n"/>
      <c r="Q10" s="65" t="inlineStr">
        <is>
          <t>Construct 2 storey detached house with integral at grade garage at front. See C of A Decision dated June 7, 2002. Final and Binding</t>
        </is>
      </c>
      <c r="R10" s="61" t="inlineStr">
        <is>
          <t>Map</t>
        </is>
      </c>
      <c r="S10" s="61" t="inlineStr">
        <is>
          <t>Raw data</t>
        </is>
      </c>
    </row>
    <row r="11" ht="16" customHeight="1">
      <c r="A11" s="59" t="inlineStr">
        <is>
          <t>32 Ardmore Rd</t>
        </is>
      </c>
      <c r="B11" s="60" t="n">
        <v>52</v>
      </c>
      <c r="C11" s="59" t="inlineStr">
        <is>
          <t>123 Glenayr Rd</t>
        </is>
      </c>
      <c r="D11" s="59" t="inlineStr">
        <is>
          <t>21 151527</t>
        </is>
      </c>
      <c r="E11" s="61" t="inlineStr">
        <is>
          <t>Building records request</t>
        </is>
      </c>
      <c r="F11" s="59" t="inlineStr">
        <is>
          <t>Demolition</t>
        </is>
      </c>
      <c r="G11" s="59" t="inlineStr">
        <is>
          <t>Demolition Folder (DM)</t>
        </is>
      </c>
      <c r="H11" s="59" t="inlineStr">
        <is>
          <t>SFD - Detached</t>
        </is>
      </c>
      <c r="I11" s="59" t="inlineStr">
        <is>
          <t>cancelled</t>
        </is>
      </c>
      <c r="J11" s="63" t="n">
        <v>44323</v>
      </c>
      <c r="K11" s="63" t="n"/>
      <c r="L11" s="63" t="n">
        <v>45299</v>
      </c>
      <c r="M11" s="70" t="n"/>
      <c r="N11" s="59" t="inlineStr">
        <is>
          <t>Unreliable (zero or out of band)</t>
        </is>
      </c>
      <c r="O11" s="64" t="n"/>
      <c r="P11" s="59" t="n"/>
      <c r="Q11" s="65" t="inlineStr">
        <is>
          <t>Proposal to demolish the existing 2 storey SFD-detached dwelling.</t>
        </is>
      </c>
      <c r="R11" s="61" t="inlineStr">
        <is>
          <t>Map</t>
        </is>
      </c>
      <c r="S11" s="61" t="inlineStr">
        <is>
          <t>Raw data</t>
        </is>
      </c>
    </row>
    <row r="12" ht="55" customHeight="1">
      <c r="A12" s="59" t="inlineStr">
        <is>
          <t>32 Ardmore Rd</t>
        </is>
      </c>
      <c r="B12" s="60" t="n">
        <v>52</v>
      </c>
      <c r="C12" s="59" t="inlineStr">
        <is>
          <t>123 Glenayr Rd</t>
        </is>
      </c>
      <c r="D12" s="59" t="inlineStr">
        <is>
          <t>21 151544</t>
        </is>
      </c>
      <c r="E12" s="61" t="inlineStr">
        <is>
          <t>Building records request</t>
        </is>
      </c>
      <c r="F12" s="59" t="inlineStr">
        <is>
          <t>New building</t>
        </is>
      </c>
      <c r="G12" s="59" t="inlineStr">
        <is>
          <t>Plumbing(PS); New Houses; Drain and Site Service</t>
        </is>
      </c>
      <c r="H12" s="59" t="inlineStr">
        <is>
          <t>SFD - Detached</t>
        </is>
      </c>
      <c r="I12" s="59" t="inlineStr">
        <is>
          <t>cancelled</t>
        </is>
      </c>
      <c r="J12" s="63" t="n">
        <v>44323</v>
      </c>
      <c r="K12" s="63" t="n"/>
      <c r="L12" s="63" t="n">
        <v>45299</v>
      </c>
      <c r="M12" s="70" t="n">
        <v>1500000</v>
      </c>
      <c r="N12" s="59" t="n"/>
      <c r="O12" s="64" t="n">
        <v>1</v>
      </c>
      <c r="P12" s="59" t="inlineStr">
        <is>
          <t>A1347/19TEY</t>
        </is>
      </c>
      <c r="Q12" s="65" t="inlineStr">
        <is>
          <t>Plumbing - Proposal to construct a new 3 storey SFD-detached dwelling with an integral garage and 2 levels of finished basement. See also 21 151527 DEM, 19 236766 ZZC, 19265483 MV and Final and Binding A1347/19TEY.</t>
        </is>
      </c>
      <c r="R12" s="61" t="inlineStr">
        <is>
          <t>Map</t>
        </is>
      </c>
      <c r="S12" s="61" t="inlineStr">
        <is>
          <t>Raw data</t>
        </is>
      </c>
    </row>
    <row r="13" ht="42" customHeight="1">
      <c r="A13" s="59" t="inlineStr">
        <is>
          <t>32 Ardmore Rd</t>
        </is>
      </c>
      <c r="B13" s="60" t="n">
        <v>52</v>
      </c>
      <c r="C13" s="59" t="inlineStr">
        <is>
          <t>123 Glenayr Rd</t>
        </is>
      </c>
      <c r="D13" s="59" t="inlineStr">
        <is>
          <t>24 219285</t>
        </is>
      </c>
      <c r="E13" s="61" t="inlineStr">
        <is>
          <t>Check permit status</t>
        </is>
      </c>
      <c r="F13" s="59" t="inlineStr">
        <is>
          <t>New building</t>
        </is>
      </c>
      <c r="G13" s="59" t="inlineStr">
        <is>
          <t>Mechanical(MS); Plumbing(PS); New Houses; Drain and Site Service</t>
        </is>
      </c>
      <c r="H13" s="59" t="inlineStr">
        <is>
          <t>SFD - Detached</t>
        </is>
      </c>
      <c r="I13" s="59" t="inlineStr">
        <is>
          <t>closed</t>
        </is>
      </c>
      <c r="J13" s="63" t="n">
        <v>45867</v>
      </c>
      <c r="K13" s="63" t="n">
        <v>45910</v>
      </c>
      <c r="L13" s="63" t="n">
        <v>46268</v>
      </c>
      <c r="M13" s="70" t="n">
        <v>1500000</v>
      </c>
      <c r="N13" s="59" t="n"/>
      <c r="O13" s="64" t="n">
        <v>1</v>
      </c>
      <c r="P13" s="59" t="n"/>
      <c r="Q13" s="65" t="inlineStr">
        <is>
          <t>Revision 01 - Basement revision and minor interior change. ---------------------------------------------------------------Three storey dwelling with attached garage, front porch and rear deck</t>
        </is>
      </c>
      <c r="R13" s="61" t="inlineStr">
        <is>
          <t>Map</t>
        </is>
      </c>
      <c r="S13" s="61" t="inlineStr">
        <is>
          <t>Raw data</t>
        </is>
      </c>
    </row>
    <row r="14" ht="16" customHeight="1">
      <c r="A14" s="59" t="inlineStr">
        <is>
          <t>32 Ardmore Rd</t>
        </is>
      </c>
      <c r="B14" s="60" t="n">
        <v>52</v>
      </c>
      <c r="C14" s="59" t="inlineStr">
        <is>
          <t>123 Glenayr Rd</t>
        </is>
      </c>
      <c r="D14" s="59" t="inlineStr">
        <is>
          <t>24 219288</t>
        </is>
      </c>
      <c r="E14" s="61" t="inlineStr">
        <is>
          <t>Building records request</t>
        </is>
      </c>
      <c r="F14" s="59" t="inlineStr">
        <is>
          <t>Demolition</t>
        </is>
      </c>
      <c r="G14" s="59" t="inlineStr">
        <is>
          <t>Demolition Folder (DM)</t>
        </is>
      </c>
      <c r="H14" s="59" t="inlineStr">
        <is>
          <t>SFD - Detached</t>
        </is>
      </c>
      <c r="I14" s="59" t="inlineStr">
        <is>
          <t>closed</t>
        </is>
      </c>
      <c r="J14" s="63" t="n">
        <v>45563</v>
      </c>
      <c r="K14" s="63" t="n">
        <v>45603</v>
      </c>
      <c r="L14" s="63" t="n">
        <v>45930</v>
      </c>
      <c r="M14" s="70" t="n"/>
      <c r="N14" s="59" t="inlineStr">
        <is>
          <t>Unreliable (zero or out of band)</t>
        </is>
      </c>
      <c r="O14" s="64" t="n"/>
      <c r="P14" s="59" t="n"/>
      <c r="Q14" s="65" t="inlineStr">
        <is>
          <t>Demolish the existing two storey dwelling.</t>
        </is>
      </c>
      <c r="R14" s="61" t="inlineStr">
        <is>
          <t>Map</t>
        </is>
      </c>
      <c r="S14" s="61" t="inlineStr">
        <is>
          <t>Raw data</t>
        </is>
      </c>
    </row>
    <row r="15" ht="42" customHeight="1">
      <c r="A15" s="59" t="inlineStr">
        <is>
          <t>32 Ardmore Rd</t>
        </is>
      </c>
      <c r="B15" s="60" t="n">
        <v>53</v>
      </c>
      <c r="C15" s="59" t="inlineStr">
        <is>
          <t>207 Glenayr Rd</t>
        </is>
      </c>
      <c r="D15" s="59" t="inlineStr">
        <is>
          <t>01 185216</t>
        </is>
      </c>
      <c r="E15" s="61" t="inlineStr">
        <is>
          <t>Building records request</t>
        </is>
      </c>
      <c r="F15" s="59" t="inlineStr">
        <is>
          <t>Addition or alteration</t>
        </is>
      </c>
      <c r="G15" s="59" t="inlineStr">
        <is>
          <t>Residential Building Permit</t>
        </is>
      </c>
      <c r="H15" s="59" t="inlineStr">
        <is>
          <t>SFD - Detached</t>
        </is>
      </c>
      <c r="I15" s="59" t="inlineStr">
        <is>
          <t>closed</t>
        </is>
      </c>
      <c r="J15" s="63" t="n">
        <v>37176</v>
      </c>
      <c r="K15" s="63" t="n">
        <v>37180</v>
      </c>
      <c r="L15" s="63" t="n">
        <v>44124</v>
      </c>
      <c r="M15" s="70" t="n">
        <v>220000</v>
      </c>
      <c r="N15" s="59" t="n"/>
      <c r="O15" s="64" t="n"/>
      <c r="P15" s="59" t="n"/>
      <c r="Q15" s="65" t="inlineStr">
        <is>
          <t>Construct two storey addition at the rear. Make interior alterations and construct uncovered platform at rear. Also demolish private detached garage and maintain parking space.</t>
        </is>
      </c>
      <c r="R15" s="61" t="inlineStr">
        <is>
          <t>Map</t>
        </is>
      </c>
      <c r="S15" s="61" t="inlineStr">
        <is>
          <t>Raw data</t>
        </is>
      </c>
    </row>
    <row r="16" ht="16" customHeight="1">
      <c r="A16" s="59" t="inlineStr">
        <is>
          <t>32 Ardmore Rd</t>
        </is>
      </c>
      <c r="B16" s="60" t="n">
        <v>53</v>
      </c>
      <c r="C16" s="59" t="inlineStr">
        <is>
          <t>207 Glenayr Rd</t>
        </is>
      </c>
      <c r="D16" s="59" t="inlineStr">
        <is>
          <t>04 122828</t>
        </is>
      </c>
      <c r="E16" s="61" t="inlineStr">
        <is>
          <t>Building records request</t>
        </is>
      </c>
      <c r="F16" s="59" t="inlineStr">
        <is>
          <t>Addition or alteration</t>
        </is>
      </c>
      <c r="G16" s="59" t="inlineStr">
        <is>
          <t>Small Residential Projects</t>
        </is>
      </c>
      <c r="H16" s="59" t="inlineStr">
        <is>
          <t>SFD - Detached</t>
        </is>
      </c>
      <c r="I16" s="59" t="inlineStr">
        <is>
          <t>closed</t>
        </is>
      </c>
      <c r="J16" s="63" t="n">
        <v>38083</v>
      </c>
      <c r="K16" s="63" t="n">
        <v>38083</v>
      </c>
      <c r="L16" s="63" t="n">
        <v>45833</v>
      </c>
      <c r="M16" s="70" t="n">
        <v>15000</v>
      </c>
      <c r="N16" s="59" t="n"/>
      <c r="O16" s="64" t="n"/>
      <c r="P16" s="59" t="n"/>
      <c r="Q16" s="65" t="inlineStr">
        <is>
          <t>Build deck at rear first floor level.</t>
        </is>
      </c>
      <c r="R16" s="61" t="inlineStr">
        <is>
          <t>Map</t>
        </is>
      </c>
      <c r="S16" s="61" t="inlineStr">
        <is>
          <t>Raw data</t>
        </is>
      </c>
    </row>
    <row r="17" ht="55" customHeight="1">
      <c r="A17" s="59" t="inlineStr">
        <is>
          <t>32 Ardmore Rd</t>
        </is>
      </c>
      <c r="B17" s="60" t="n">
        <v>60</v>
      </c>
      <c r="C17" s="59" t="inlineStr">
        <is>
          <t>201 Vesta Dr</t>
        </is>
      </c>
      <c r="D17" s="59" t="inlineStr">
        <is>
          <t>19 150001</t>
        </is>
      </c>
      <c r="E17" s="61" t="inlineStr">
        <is>
          <t>Building records request</t>
        </is>
      </c>
      <c r="F17" s="59" t="inlineStr">
        <is>
          <t>Addition or alteration</t>
        </is>
      </c>
      <c r="G17" s="59" t="inlineStr">
        <is>
          <t>Plumbing(PS); Small Residential Projects</t>
        </is>
      </c>
      <c r="H17" s="59" t="inlineStr">
        <is>
          <t>SFD - Detached</t>
        </is>
      </c>
      <c r="I17" s="59" t="inlineStr">
        <is>
          <t>closed</t>
        </is>
      </c>
      <c r="J17" s="63" t="n">
        <v>43591</v>
      </c>
      <c r="K17" s="63" t="n">
        <v>43626</v>
      </c>
      <c r="L17" s="63" t="n">
        <v>43726</v>
      </c>
      <c r="M17" s="70" t="n">
        <v>5000</v>
      </c>
      <c r="N17" s="59" t="n"/>
      <c r="O17" s="64" t="n"/>
      <c r="P17" s="59" t="n"/>
      <c r="Q17" s="65" t="inlineStr">
        <is>
          <t>Plumbing - Remove the existing window and install a new fire rated window on the rear side.Remove a partition wall and build a new partition wall in the first floor.Remodel the kitchen cabinets and some minor plumbing works for the kitchen sink.</t>
        </is>
      </c>
      <c r="R17" s="61" t="inlineStr">
        <is>
          <t>Map</t>
        </is>
      </c>
      <c r="S17" s="61" t="inlineStr">
        <is>
          <t>Raw data</t>
        </is>
      </c>
    </row>
    <row r="18" ht="29" customHeight="1">
      <c r="A18" s="59" t="inlineStr">
        <is>
          <t>32 Ardmore Rd</t>
        </is>
      </c>
      <c r="B18" s="60" t="n">
        <v>60</v>
      </c>
      <c r="C18" s="59" t="inlineStr">
        <is>
          <t>201 Vesta Dr</t>
        </is>
      </c>
      <c r="D18" s="59" t="inlineStr">
        <is>
          <t>25 117344</t>
        </is>
      </c>
      <c r="E18" s="61" t="inlineStr">
        <is>
          <t>Building records request</t>
        </is>
      </c>
      <c r="F18" s="59" t="inlineStr">
        <is>
          <t>Addition or alteration</t>
        </is>
      </c>
      <c r="G18" s="59" t="inlineStr">
        <is>
          <t>Small Residential Projects</t>
        </is>
      </c>
      <c r="H18" s="59" t="inlineStr">
        <is>
          <t>SFD - Detached</t>
        </is>
      </c>
      <c r="I18" s="59" t="inlineStr">
        <is>
          <t>closed</t>
        </is>
      </c>
      <c r="J18" s="63" t="n">
        <v>45702</v>
      </c>
      <c r="K18" s="63" t="n">
        <v>45714</v>
      </c>
      <c r="L18" s="63" t="n">
        <v>45874</v>
      </c>
      <c r="M18" s="70" t="n">
        <v>150000</v>
      </c>
      <c r="N18" s="59" t="n"/>
      <c r="O18" s="64" t="n"/>
      <c r="P18" s="59" t="n"/>
      <c r="Q18" s="65" t="inlineStr">
        <is>
          <t>Proposal for new rear yard covered canopy, new side yard landscaping, retaining walls and stairs to replace existing dure to age.</t>
        </is>
      </c>
      <c r="R18" s="61" t="inlineStr">
        <is>
          <t>Map</t>
        </is>
      </c>
      <c r="S18" s="61" t="inlineStr">
        <is>
          <t>Raw data</t>
        </is>
      </c>
    </row>
    <row r="19" ht="55" customHeight="1">
      <c r="A19" s="59" t="inlineStr">
        <is>
          <t>32 Ardmore Rd</t>
        </is>
      </c>
      <c r="B19" s="60" t="n">
        <v>62</v>
      </c>
      <c r="C19" s="59" t="inlineStr">
        <is>
          <t>121 Glenayr Rd</t>
        </is>
      </c>
      <c r="D19" s="59" t="inlineStr">
        <is>
          <t>04 161888</t>
        </is>
      </c>
      <c r="E19" s="61" t="inlineStr">
        <is>
          <t>Building records request</t>
        </is>
      </c>
      <c r="F19" s="59" t="inlineStr">
        <is>
          <t>Addition or alteration</t>
        </is>
      </c>
      <c r="G19" s="59" t="inlineStr">
        <is>
          <t>Small Residential Projects</t>
        </is>
      </c>
      <c r="H19" s="59" t="inlineStr">
        <is>
          <t>SFD - Detached</t>
        </is>
      </c>
      <c r="I19" s="59" t="inlineStr">
        <is>
          <t>closed</t>
        </is>
      </c>
      <c r="J19" s="63" t="n">
        <v>38197</v>
      </c>
      <c r="K19" s="63" t="n">
        <v>38251</v>
      </c>
      <c r="L19" s="63" t="n">
        <v>45867</v>
      </c>
      <c r="M19" s="70" t="n">
        <v>50000</v>
      </c>
      <c r="N19" s="59" t="n"/>
      <c r="O19" s="64" t="n"/>
      <c r="P19" s="59" t="n"/>
      <c r="Q19" s="65" t="inlineStr">
        <is>
          <t>Build 1 and 2 storey additions and deck at rear; build platform with roof over a front; and extend bay windows at front. Also build basement entrance at rear. See Committee of Adjustments decision. Approved with conditions. Final and binding.</t>
        </is>
      </c>
      <c r="R19" s="61" t="inlineStr">
        <is>
          <t>Map</t>
        </is>
      </c>
      <c r="S19" s="61" t="inlineStr">
        <is>
          <t>Raw data</t>
        </is>
      </c>
    </row>
    <row r="20" ht="29" customHeight="1">
      <c r="A20" s="59" t="inlineStr">
        <is>
          <t>32 Ardmore Rd</t>
        </is>
      </c>
      <c r="B20" s="60" t="n">
        <v>62</v>
      </c>
      <c r="C20" s="59" t="inlineStr">
        <is>
          <t>121 Glenayr Rd</t>
        </is>
      </c>
      <c r="D20" s="59" t="inlineStr">
        <is>
          <t>19 202328</t>
        </is>
      </c>
      <c r="E20" s="61" t="inlineStr">
        <is>
          <t>Building records request</t>
        </is>
      </c>
      <c r="F20" s="59" t="inlineStr">
        <is>
          <t>Other</t>
        </is>
      </c>
      <c r="G20" s="59" t="inlineStr">
        <is>
          <t>Drain and Site Service</t>
        </is>
      </c>
      <c r="H20" s="59" t="inlineStr">
        <is>
          <t>SFD - Detached</t>
        </is>
      </c>
      <c r="I20" s="59" t="inlineStr">
        <is>
          <t>closed</t>
        </is>
      </c>
      <c r="J20" s="63" t="n">
        <v>43685</v>
      </c>
      <c r="K20" s="63" t="n">
        <v>43685</v>
      </c>
      <c r="L20" s="63" t="n">
        <v>43689</v>
      </c>
      <c r="M20" s="70" t="n"/>
      <c r="N20" s="59" t="inlineStr">
        <is>
          <t>Not declared</t>
        </is>
      </c>
      <c r="O20" s="64" t="n"/>
      <c r="P20" s="59" t="n"/>
      <c r="Q20" s="65" t="inlineStr">
        <is>
          <t>Proposed installation of a new back water valve in an existing single family detached dwelling.</t>
        </is>
      </c>
      <c r="R20" s="61" t="inlineStr">
        <is>
          <t>Map</t>
        </is>
      </c>
      <c r="S20" s="61" t="inlineStr">
        <is>
          <t>Raw data</t>
        </is>
      </c>
    </row>
    <row r="21" ht="16" customHeight="1">
      <c r="A21" s="59" t="inlineStr">
        <is>
          <t>32 Ardmore Rd</t>
        </is>
      </c>
      <c r="B21" s="60" t="n">
        <v>70</v>
      </c>
      <c r="C21" s="59" t="inlineStr">
        <is>
          <t>205 Vesta Dr</t>
        </is>
      </c>
      <c r="D21" s="59" t="inlineStr">
        <is>
          <t>03 123097</t>
        </is>
      </c>
      <c r="E21" s="61" t="inlineStr">
        <is>
          <t>Building records request</t>
        </is>
      </c>
      <c r="F21" s="59" t="inlineStr">
        <is>
          <t>Addition or alteration</t>
        </is>
      </c>
      <c r="G21" s="59" t="inlineStr">
        <is>
          <t>Small Residential Projects</t>
        </is>
      </c>
      <c r="H21" s="59" t="inlineStr">
        <is>
          <t>SFD - Detached</t>
        </is>
      </c>
      <c r="I21" s="59" t="inlineStr">
        <is>
          <t>closed</t>
        </is>
      </c>
      <c r="J21" s="63" t="n">
        <v>37721</v>
      </c>
      <c r="K21" s="63" t="n">
        <v>37768</v>
      </c>
      <c r="L21" s="63" t="n">
        <v>44348</v>
      </c>
      <c r="M21" s="70" t="n">
        <v>200000</v>
      </c>
      <c r="N21" s="59" t="n"/>
      <c r="O21" s="64" t="n"/>
      <c r="P21" s="59" t="n"/>
      <c r="Q21" s="65" t="inlineStr">
        <is>
          <t>make interior alterations to garage for habitable space see c of a</t>
        </is>
      </c>
      <c r="R21" s="61" t="inlineStr">
        <is>
          <t>Map</t>
        </is>
      </c>
      <c r="S21" s="61" t="inlineStr">
        <is>
          <t>Raw data</t>
        </is>
      </c>
    </row>
    <row r="22" ht="16" customHeight="1">
      <c r="A22" s="59" t="inlineStr">
        <is>
          <t>32 Ardmore Rd</t>
        </is>
      </c>
      <c r="B22" s="60" t="n">
        <v>70</v>
      </c>
      <c r="C22" s="59" t="inlineStr">
        <is>
          <t>211 Glenayr Rd</t>
        </is>
      </c>
      <c r="D22" s="59" t="inlineStr">
        <is>
          <t>08 115422</t>
        </is>
      </c>
      <c r="E22" s="61" t="inlineStr">
        <is>
          <t>Building records request</t>
        </is>
      </c>
      <c r="F22" s="59" t="inlineStr">
        <is>
          <t>Demolition</t>
        </is>
      </c>
      <c r="G22" s="59" t="inlineStr">
        <is>
          <t>Demolition Folder (DM)</t>
        </is>
      </c>
      <c r="H22" s="59" t="inlineStr">
        <is>
          <t>SFD - Detached</t>
        </is>
      </c>
      <c r="I22" s="59" t="inlineStr">
        <is>
          <t>closed</t>
        </is>
      </c>
      <c r="J22" s="63" t="n">
        <v>39507</v>
      </c>
      <c r="K22" s="63" t="n">
        <v>39525</v>
      </c>
      <c r="L22" s="63" t="n">
        <v>43290</v>
      </c>
      <c r="M22" s="70" t="n"/>
      <c r="N22" s="59" t="inlineStr">
        <is>
          <t>Unreliable (zero or out of band)</t>
        </is>
      </c>
      <c r="O22" s="64" t="n"/>
      <c r="P22" s="59" t="n"/>
      <c r="Q22" s="65" t="inlineStr">
        <is>
          <t>Proposal to demolish existing 2 sty SFD. See BLD 08 115432</t>
        </is>
      </c>
      <c r="R22" s="61" t="inlineStr">
        <is>
          <t>Map</t>
        </is>
      </c>
      <c r="S22" s="61" t="inlineStr">
        <is>
          <t>Raw data</t>
        </is>
      </c>
    </row>
    <row r="23" ht="29" customHeight="1">
      <c r="A23" s="59" t="inlineStr">
        <is>
          <t>32 Ardmore Rd</t>
        </is>
      </c>
      <c r="B23" s="60" t="n">
        <v>70</v>
      </c>
      <c r="C23" s="59" t="inlineStr">
        <is>
          <t>211 Glenayr Rd</t>
        </is>
      </c>
      <c r="D23" s="59" t="inlineStr">
        <is>
          <t>08 115432</t>
        </is>
      </c>
      <c r="E23" s="61" t="inlineStr">
        <is>
          <t>Building records request</t>
        </is>
      </c>
      <c r="F23" s="59" t="inlineStr">
        <is>
          <t>New building</t>
        </is>
      </c>
      <c r="G23" s="59" t="inlineStr">
        <is>
          <t>Mechanical(MS); Plumbing(PS); New Houses; Drain and Site Service</t>
        </is>
      </c>
      <c r="H23" s="59" t="inlineStr">
        <is>
          <t>SFD - Detached</t>
        </is>
      </c>
      <c r="I23" s="59" t="inlineStr">
        <is>
          <t>closed</t>
        </is>
      </c>
      <c r="J23" s="63" t="n">
        <v>39570</v>
      </c>
      <c r="K23" s="63" t="n">
        <v>39584</v>
      </c>
      <c r="L23" s="63" t="n">
        <v>46003</v>
      </c>
      <c r="M23" s="70" t="n">
        <v>336000</v>
      </c>
      <c r="N23" s="59" t="n"/>
      <c r="O23" s="64" t="n">
        <v>1</v>
      </c>
      <c r="P23" s="59" t="inlineStr">
        <is>
          <t>A0007/08TEY</t>
        </is>
      </c>
      <c r="Q23" s="65" t="inlineStr">
        <is>
          <t>Plumbing - Proposal to construct a new 2 sty SFD. See Demo 08 115422 and Final &amp; Binding - A0007/08TEY</t>
        </is>
      </c>
      <c r="R23" s="61" t="inlineStr">
        <is>
          <t>Map</t>
        </is>
      </c>
      <c r="S23" s="61" t="inlineStr">
        <is>
          <t>Raw data</t>
        </is>
      </c>
    </row>
    <row r="24" ht="29" customHeight="1">
      <c r="A24" s="59" t="inlineStr">
        <is>
          <t>32 Ardmore Rd</t>
        </is>
      </c>
      <c r="B24" s="60" t="n">
        <v>70</v>
      </c>
      <c r="C24" s="59" t="inlineStr">
        <is>
          <t>205 Vesta Dr</t>
        </is>
      </c>
      <c r="D24" s="59" t="inlineStr">
        <is>
          <t>09 183725</t>
        </is>
      </c>
      <c r="E24" s="61" t="inlineStr">
        <is>
          <t>Building records request</t>
        </is>
      </c>
      <c r="F24" s="59" t="inlineStr">
        <is>
          <t>Addition or alteration</t>
        </is>
      </c>
      <c r="G24" s="59" t="inlineStr">
        <is>
          <t>Small Residential Projects; Plumbing(PS)</t>
        </is>
      </c>
      <c r="H24" s="59" t="inlineStr">
        <is>
          <t>SFD - Detached</t>
        </is>
      </c>
      <c r="I24" s="59" t="inlineStr">
        <is>
          <t>under inspection</t>
        </is>
      </c>
      <c r="J24" s="63" t="n">
        <v>40115</v>
      </c>
      <c r="K24" s="63" t="n">
        <v>40121</v>
      </c>
      <c r="L24" s="63" t="n">
        <v>46181</v>
      </c>
      <c r="M24" s="70" t="n">
        <v>20000</v>
      </c>
      <c r="N24" s="59" t="n"/>
      <c r="O24" s="64" t="n"/>
      <c r="P24" s="59" t="n"/>
      <c r="Q24" s="65" t="inlineStr">
        <is>
          <t>Plumbing - Interior alterations on ground floor (north side) of existing single family dwelling.</t>
        </is>
      </c>
      <c r="R24" s="61" t="inlineStr">
        <is>
          <t>Map</t>
        </is>
      </c>
      <c r="S24" s="61" t="inlineStr">
        <is>
          <t>Raw data</t>
        </is>
      </c>
    </row>
    <row r="25" ht="42" customHeight="1">
      <c r="A25" s="59" t="inlineStr">
        <is>
          <t>32 Ardmore Rd</t>
        </is>
      </c>
      <c r="B25" s="60" t="n">
        <v>70</v>
      </c>
      <c r="C25" s="59" t="inlineStr">
        <is>
          <t>211 Glenayr Rd</t>
        </is>
      </c>
      <c r="D25" s="59" t="inlineStr">
        <is>
          <t>10 192388</t>
        </is>
      </c>
      <c r="E25" s="61" t="inlineStr">
        <is>
          <t>Building records request</t>
        </is>
      </c>
      <c r="F25" s="59" t="inlineStr">
        <is>
          <t>Addition or alteration</t>
        </is>
      </c>
      <c r="G25" s="59" t="inlineStr">
        <is>
          <t>Small Residential Projects</t>
        </is>
      </c>
      <c r="H25" s="59" t="inlineStr">
        <is>
          <t>SFD - Detached</t>
        </is>
      </c>
      <c r="I25" s="59" t="inlineStr">
        <is>
          <t>closed</t>
        </is>
      </c>
      <c r="J25" s="63" t="n">
        <v>40574</v>
      </c>
      <c r="K25" s="63" t="n">
        <v>40582</v>
      </c>
      <c r="L25" s="63" t="n">
        <v>44384</v>
      </c>
      <c r="M25" s="70" t="n">
        <v>10000</v>
      </c>
      <c r="N25" s="59" t="n"/>
      <c r="O25" s="64" t="n"/>
      <c r="P25" s="59" t="n"/>
      <c r="Q25" s="65" t="inlineStr">
        <is>
          <t>Revision to existing building permit - revision to change front entrance from flat roof to peak roof.Proposed new front exterior entrance and new gazebo at rear.</t>
        </is>
      </c>
      <c r="R25" s="61" t="inlineStr">
        <is>
          <t>Map</t>
        </is>
      </c>
      <c r="S25" s="61" t="inlineStr">
        <is>
          <t>Raw data</t>
        </is>
      </c>
    </row>
    <row r="26" ht="55" customHeight="1">
      <c r="A26" s="59" t="inlineStr">
        <is>
          <t>32 Ardmore Rd</t>
        </is>
      </c>
      <c r="B26" s="60" t="n">
        <v>76</v>
      </c>
      <c r="C26" s="59" t="inlineStr">
        <is>
          <t>212 Vesta Dr</t>
        </is>
      </c>
      <c r="D26" s="59" t="inlineStr">
        <is>
          <t>10 117622</t>
        </is>
      </c>
      <c r="E26" s="61" t="inlineStr">
        <is>
          <t>Building records request</t>
        </is>
      </c>
      <c r="F26" s="59" t="inlineStr">
        <is>
          <t>New building</t>
        </is>
      </c>
      <c r="G26" s="59" t="inlineStr">
        <is>
          <t>Plumbing(PS); New Houses; Drain and Site Service</t>
        </is>
      </c>
      <c r="H26" s="59" t="inlineStr">
        <is>
          <t>SFD - Detached</t>
        </is>
      </c>
      <c r="I26" s="59" t="inlineStr">
        <is>
          <t>closed</t>
        </is>
      </c>
      <c r="J26" s="63" t="n">
        <v>40220</v>
      </c>
      <c r="K26" s="63" t="n">
        <v>40239</v>
      </c>
      <c r="L26" s="63" t="n">
        <v>43486</v>
      </c>
      <c r="M26" s="70" t="n">
        <v>600000</v>
      </c>
      <c r="N26" s="59" t="n"/>
      <c r="O26" s="64" t="n"/>
      <c r="P26" s="59" t="n"/>
      <c r="Q26" s="65" t="inlineStr">
        <is>
          <t>SEE NOTE BELOW Scope of Revision changed March7/11 originally to install sprinkler system -Proposal to construct new three-storey single family detached dwelling w/ integral two-car garage and rear deck. See permit 09-194905 and PAL 09-152062</t>
        </is>
      </c>
      <c r="R26" s="61" t="inlineStr">
        <is>
          <t>Map</t>
        </is>
      </c>
      <c r="S26" s="61" t="inlineStr">
        <is>
          <t>Raw data</t>
        </is>
      </c>
    </row>
    <row r="27" ht="29" customHeight="1">
      <c r="A27" s="59" t="inlineStr">
        <is>
          <t>32 Ardmore Rd</t>
        </is>
      </c>
      <c r="B27" s="60" t="n">
        <v>79</v>
      </c>
      <c r="C27" s="59" t="inlineStr">
        <is>
          <t>215 Glenayr Rd</t>
        </is>
      </c>
      <c r="D27" s="59" t="inlineStr">
        <is>
          <t>16 247050</t>
        </is>
      </c>
      <c r="E27" s="61" t="inlineStr">
        <is>
          <t>Building records request</t>
        </is>
      </c>
      <c r="F27" s="59" t="inlineStr">
        <is>
          <t>Addition or alteration</t>
        </is>
      </c>
      <c r="G27" s="59" t="inlineStr">
        <is>
          <t>Small Residential Projects</t>
        </is>
      </c>
      <c r="H27" s="59" t="inlineStr">
        <is>
          <t>SFD - Detached</t>
        </is>
      </c>
      <c r="I27" s="59" t="inlineStr">
        <is>
          <t>closed</t>
        </is>
      </c>
      <c r="J27" s="63" t="n">
        <v>42678</v>
      </c>
      <c r="K27" s="63" t="n">
        <v>42689</v>
      </c>
      <c r="L27" s="63" t="n">
        <v>44109</v>
      </c>
      <c r="M27" s="70" t="n">
        <v>80000</v>
      </c>
      <c r="N27" s="59" t="n"/>
      <c r="O27" s="64" t="n"/>
      <c r="P27" s="59" t="n"/>
      <c r="Q27" s="65" t="inlineStr">
        <is>
          <t>Proposal to underpin the basement of the existing single family dwelling.</t>
        </is>
      </c>
      <c r="R27" s="61" t="inlineStr">
        <is>
          <t>Map</t>
        </is>
      </c>
      <c r="S27" s="61" t="inlineStr">
        <is>
          <t>Raw data</t>
        </is>
      </c>
    </row>
    <row r="28" ht="68" customHeight="1">
      <c r="A28" s="59" t="inlineStr">
        <is>
          <t>32 Ardmore Rd</t>
        </is>
      </c>
      <c r="B28" s="60" t="n">
        <v>79</v>
      </c>
      <c r="C28" s="59" t="inlineStr">
        <is>
          <t>215 Glenayr Rd</t>
        </is>
      </c>
      <c r="D28" s="59" t="inlineStr">
        <is>
          <t>17 105960</t>
        </is>
      </c>
      <c r="E28" s="61" t="inlineStr">
        <is>
          <t>Check permit status</t>
        </is>
      </c>
      <c r="F28" s="59" t="inlineStr">
        <is>
          <t>Addition or alteration</t>
        </is>
      </c>
      <c r="G28" s="59" t="inlineStr">
        <is>
          <t>Plumbing(PS); Mechanical(MS); Small Residential Projects</t>
        </is>
      </c>
      <c r="H28" s="59" t="inlineStr">
        <is>
          <t>SFD - Detached</t>
        </is>
      </c>
      <c r="I28" s="59" t="inlineStr">
        <is>
          <t>under inspection</t>
        </is>
      </c>
      <c r="J28" s="63" t="n">
        <v>42753</v>
      </c>
      <c r="K28" s="63" t="n">
        <v>42759</v>
      </c>
      <c r="L28" s="63" t="n"/>
      <c r="M28" s="70" t="n">
        <v>35000</v>
      </c>
      <c r="N28" s="59" t="n"/>
      <c r="O28" s="64" t="n"/>
      <c r="P28" s="59" t="n"/>
      <c r="Q28" s="65" t="inlineStr">
        <is>
          <t>Revision #01 - Changes made to 3rd storey alterations, see attached drawings. Proposed 2 storey rear addition, reconstruct the front wall with front bay window, covered front porch with cold storage beneath, rear ground floor deck and interior alterations throughout the existing detached single family dwelling. **** See ZZC Drawings. ****</t>
        </is>
      </c>
      <c r="R28" s="61" t="inlineStr">
        <is>
          <t>Map</t>
        </is>
      </c>
      <c r="S28" s="61" t="inlineStr">
        <is>
          <t>Raw data</t>
        </is>
      </c>
    </row>
    <row r="29" ht="29" customHeight="1">
      <c r="A29" s="59" t="inlineStr">
        <is>
          <t>32 Ardmore Rd</t>
        </is>
      </c>
      <c r="B29" s="60" t="n">
        <v>79</v>
      </c>
      <c r="C29" s="59" t="inlineStr">
        <is>
          <t>202 Glenayr Rd</t>
        </is>
      </c>
      <c r="D29" s="59" t="inlineStr">
        <is>
          <t>20 190793</t>
        </is>
      </c>
      <c r="E29" s="61" t="inlineStr">
        <is>
          <t>Building records request</t>
        </is>
      </c>
      <c r="F29" s="59" t="inlineStr">
        <is>
          <t>Addition or alteration</t>
        </is>
      </c>
      <c r="G29" s="59" t="inlineStr">
        <is>
          <t>Small Residential Projects</t>
        </is>
      </c>
      <c r="H29" s="59" t="inlineStr">
        <is>
          <t>SFD - Detached</t>
        </is>
      </c>
      <c r="I29" s="59" t="inlineStr">
        <is>
          <t>closed</t>
        </is>
      </c>
      <c r="J29" s="63" t="n">
        <v>44159</v>
      </c>
      <c r="K29" s="63" t="n">
        <v>44172</v>
      </c>
      <c r="L29" s="63" t="n">
        <v>44347</v>
      </c>
      <c r="M29" s="70" t="n">
        <v>8000</v>
      </c>
      <c r="N29" s="59" t="n"/>
      <c r="O29" s="64" t="n"/>
      <c r="P29" s="59" t="n"/>
      <c r="Q29" s="65" t="inlineStr">
        <is>
          <t>Revision # 01 - For slab on grade with r/c thickened edge; cantilevered slab over tree protection zone.Rear deck</t>
        </is>
      </c>
      <c r="R29" s="61" t="inlineStr">
        <is>
          <t>Map</t>
        </is>
      </c>
      <c r="S29" s="61" t="inlineStr">
        <is>
          <t>Raw data</t>
        </is>
      </c>
    </row>
    <row r="30" ht="29" customHeight="1">
      <c r="A30" s="59" t="inlineStr">
        <is>
          <t>32 Ardmore Rd</t>
        </is>
      </c>
      <c r="B30" s="60" t="n">
        <v>79</v>
      </c>
      <c r="C30" s="59" t="inlineStr">
        <is>
          <t>202 Glenayr Rd</t>
        </is>
      </c>
      <c r="D30" s="59" t="inlineStr">
        <is>
          <t>22 104925</t>
        </is>
      </c>
      <c r="E30" s="61" t="inlineStr">
        <is>
          <t>Building records request</t>
        </is>
      </c>
      <c r="F30" s="59" t="inlineStr">
        <is>
          <t>Addition or alteration</t>
        </is>
      </c>
      <c r="G30" s="59" t="inlineStr">
        <is>
          <t>Mechanical(MS); Plumbing(PS); Small Residential Projects</t>
        </is>
      </c>
      <c r="H30" s="59" t="inlineStr">
        <is>
          <t>SFD - Detached</t>
        </is>
      </c>
      <c r="I30" s="59" t="inlineStr">
        <is>
          <t>closed</t>
        </is>
      </c>
      <c r="J30" s="63" t="n">
        <v>44851</v>
      </c>
      <c r="K30" s="63" t="n">
        <v>44853</v>
      </c>
      <c r="L30" s="63" t="n">
        <v>45833</v>
      </c>
      <c r="M30" s="70" t="n">
        <v>100000</v>
      </c>
      <c r="N30" s="59" t="n"/>
      <c r="O30" s="64" t="n"/>
      <c r="P30" s="59" t="n"/>
      <c r="Q30" s="65" t="inlineStr">
        <is>
          <t>Plumbing - Proposal for 2nd floor Addition and Interior Alterations to the existing Single Family Dwelling.</t>
        </is>
      </c>
      <c r="R30" s="61" t="inlineStr">
        <is>
          <t>Map</t>
        </is>
      </c>
      <c r="S30" s="61" t="inlineStr">
        <is>
          <t>Raw data</t>
        </is>
      </c>
    </row>
    <row r="31" ht="29" customHeight="1">
      <c r="A31" s="59" t="inlineStr">
        <is>
          <t>32 Ardmore Rd</t>
        </is>
      </c>
      <c r="B31" s="60" t="n">
        <v>79</v>
      </c>
      <c r="C31" s="59" t="inlineStr">
        <is>
          <t>202 Glenayr Rd</t>
        </is>
      </c>
      <c r="D31" s="59" t="inlineStr">
        <is>
          <t>22 141312</t>
        </is>
      </c>
      <c r="E31" s="61" t="inlineStr">
        <is>
          <t>Building records request</t>
        </is>
      </c>
      <c r="F31" s="59" t="inlineStr">
        <is>
          <t>Addition or alteration</t>
        </is>
      </c>
      <c r="G31" s="59" t="inlineStr">
        <is>
          <t>Plumbing(PS); Small Residential Projects</t>
        </is>
      </c>
      <c r="H31" s="59" t="inlineStr">
        <is>
          <t>SFD - Detached</t>
        </is>
      </c>
      <c r="I31" s="59" t="inlineStr">
        <is>
          <t>closed</t>
        </is>
      </c>
      <c r="J31" s="63" t="n">
        <v>44683</v>
      </c>
      <c r="K31" s="63" t="n">
        <v>44718</v>
      </c>
      <c r="L31" s="63" t="n">
        <v>45833</v>
      </c>
      <c r="M31" s="70" t="n">
        <v>100000</v>
      </c>
      <c r="N31" s="59" t="n"/>
      <c r="O31" s="64" t="n"/>
      <c r="P31" s="59" t="n"/>
      <c r="Q31" s="65" t="inlineStr">
        <is>
          <t>Plumbing - Underpin existing basement and crawlspac, and a basement walkout</t>
        </is>
      </c>
      <c r="R31" s="61" t="inlineStr">
        <is>
          <t>Map</t>
        </is>
      </c>
      <c r="S31" s="61" t="inlineStr">
        <is>
          <t>Raw data</t>
        </is>
      </c>
    </row>
    <row r="32" ht="29" customHeight="1">
      <c r="A32" s="59" t="inlineStr">
        <is>
          <t>32 Ardmore Rd</t>
        </is>
      </c>
      <c r="B32" s="60" t="n">
        <v>80</v>
      </c>
      <c r="C32" s="59" t="inlineStr">
        <is>
          <t>204 Glenayr Rd</t>
        </is>
      </c>
      <c r="D32" s="59" t="inlineStr">
        <is>
          <t>22 206189</t>
        </is>
      </c>
      <c r="E32" s="61" t="inlineStr">
        <is>
          <t>Check permit status</t>
        </is>
      </c>
      <c r="F32" s="59" t="inlineStr">
        <is>
          <t>Addition or alteration</t>
        </is>
      </c>
      <c r="G32" s="59" t="inlineStr">
        <is>
          <t>Small Residential Projects; Plumbing(PS); Drain and Site Service</t>
        </is>
      </c>
      <c r="H32" s="59" t="inlineStr">
        <is>
          <t>SFD - Detached</t>
        </is>
      </c>
      <c r="I32" s="59" t="inlineStr">
        <is>
          <t>under inspection</t>
        </is>
      </c>
      <c r="J32" s="63" t="n">
        <v>44824</v>
      </c>
      <c r="K32" s="63" t="n">
        <v>44834</v>
      </c>
      <c r="L32" s="63" t="n">
        <v>45090</v>
      </c>
      <c r="M32" s="70" t="n">
        <v>150000</v>
      </c>
      <c r="N32" s="59" t="n"/>
      <c r="O32" s="64" t="n"/>
      <c r="P32" s="59" t="n"/>
      <c r="Q32" s="65" t="inlineStr">
        <is>
          <t>Plumbing - Proposal to alter existing detached SFD with constructing basement underpinning and interior alterations.</t>
        </is>
      </c>
      <c r="R32" s="61" t="inlineStr">
        <is>
          <t>Map</t>
        </is>
      </c>
      <c r="S32" s="61" t="inlineStr">
        <is>
          <t>Raw data</t>
        </is>
      </c>
    </row>
    <row r="33" ht="81" customHeight="1">
      <c r="A33" s="59" t="inlineStr">
        <is>
          <t>32 Ardmore Rd</t>
        </is>
      </c>
      <c r="B33" s="60" t="n">
        <v>88</v>
      </c>
      <c r="C33" s="59" t="inlineStr">
        <is>
          <t>214 Vesta Dr</t>
        </is>
      </c>
      <c r="D33" s="59" t="inlineStr">
        <is>
          <t>10 203724</t>
        </is>
      </c>
      <c r="E33" s="61" t="inlineStr">
        <is>
          <t>Building records request</t>
        </is>
      </c>
      <c r="F33" s="59" t="inlineStr">
        <is>
          <t>New building</t>
        </is>
      </c>
      <c r="G33" s="59" t="inlineStr">
        <is>
          <t>New Houses; Mechanical(MS); Plumbing(PS)</t>
        </is>
      </c>
      <c r="H33" s="59" t="inlineStr">
        <is>
          <t>SFD - Detached</t>
        </is>
      </c>
      <c r="I33" s="59" t="inlineStr">
        <is>
          <t>with a revision issued</t>
        </is>
      </c>
      <c r="J33" s="63" t="n">
        <v>40659</v>
      </c>
      <c r="K33" s="63" t="n">
        <v>40668</v>
      </c>
      <c r="L33" s="63" t="n">
        <v>42740</v>
      </c>
      <c r="M33" s="70" t="n">
        <v>600000</v>
      </c>
      <c r="N33" s="59" t="n"/>
      <c r="O33" s="64" t="n"/>
      <c r="P33" s="59" t="inlineStr">
        <is>
          <t>A0327/10TEY</t>
        </is>
      </c>
      <c r="Q33" s="65" t="inlineStr">
        <is>
          <t>REVISION: This is a revision to the third floor design including four(4) skylights and a change to the deck at the rear of the ground floor.REVISION - to reduce the size and alter the layout of the 3rd floor.Proposal to construct a new 2 1/2 storey SFD-detached dwelling. See also 10 121737 ZAL, 10 131427 MV, Final and Binding A0327/10TEY and 10 203718 DEM.</t>
        </is>
      </c>
      <c r="R33" s="61" t="inlineStr">
        <is>
          <t>Map</t>
        </is>
      </c>
      <c r="S33" s="61" t="inlineStr">
        <is>
          <t>Raw data</t>
        </is>
      </c>
    </row>
    <row r="34" ht="29" customHeight="1">
      <c r="A34" s="59" t="inlineStr">
        <is>
          <t>32 Ardmore Rd</t>
        </is>
      </c>
      <c r="B34" s="60" t="n">
        <v>88</v>
      </c>
      <c r="C34" s="59" t="inlineStr">
        <is>
          <t>21 Ardmore Rd</t>
        </is>
      </c>
      <c r="D34" s="59" t="inlineStr">
        <is>
          <t>12 196249</t>
        </is>
      </c>
      <c r="E34" s="61" t="inlineStr">
        <is>
          <t>Building records request</t>
        </is>
      </c>
      <c r="F34" s="59" t="inlineStr">
        <is>
          <t>Addition or alteration</t>
        </is>
      </c>
      <c r="G34" s="59" t="inlineStr">
        <is>
          <t>Plumbing(PS); Small Residential Projects</t>
        </is>
      </c>
      <c r="H34" s="59" t="inlineStr">
        <is>
          <t>SFD - Detached</t>
        </is>
      </c>
      <c r="I34" s="59" t="inlineStr">
        <is>
          <t>closed</t>
        </is>
      </c>
      <c r="J34" s="63" t="n">
        <v>41079</v>
      </c>
      <c r="K34" s="63" t="n">
        <v>41081</v>
      </c>
      <c r="L34" s="63" t="n">
        <v>44006</v>
      </c>
      <c r="M34" s="70" t="n">
        <v>25000</v>
      </c>
      <c r="N34" s="59" t="n"/>
      <c r="O34" s="64" t="n"/>
      <c r="P34" s="59" t="n"/>
      <c r="Q34" s="65" t="inlineStr">
        <is>
          <t>Plumbing - Proposal to construct a 1 storey addition at the rear of an existing 2 storey SFD-detached dwelling.</t>
        </is>
      </c>
      <c r="R34" s="61" t="inlineStr">
        <is>
          <t>Map</t>
        </is>
      </c>
      <c r="S34" s="61" t="inlineStr">
        <is>
          <t>Raw data</t>
        </is>
      </c>
    </row>
    <row r="35" ht="29" customHeight="1">
      <c r="A35" s="59" t="inlineStr">
        <is>
          <t>32 Ardmore Rd</t>
        </is>
      </c>
      <c r="B35" s="60" t="n">
        <v>89</v>
      </c>
      <c r="C35" s="59" t="inlineStr">
        <is>
          <t>117 Glenayr Rd</t>
        </is>
      </c>
      <c r="D35" s="59" t="inlineStr">
        <is>
          <t>19 253113</t>
        </is>
      </c>
      <c r="E35" s="61" t="inlineStr">
        <is>
          <t>Building records request</t>
        </is>
      </c>
      <c r="F35" s="59" t="inlineStr">
        <is>
          <t>Addition or alteration</t>
        </is>
      </c>
      <c r="G35" s="59" t="inlineStr">
        <is>
          <t>Small Residential Projects</t>
        </is>
      </c>
      <c r="H35" s="59" t="inlineStr">
        <is>
          <t>SFD - Detached</t>
        </is>
      </c>
      <c r="I35" s="59" t="inlineStr">
        <is>
          <t>closed</t>
        </is>
      </c>
      <c r="J35" s="63" t="n">
        <v>43794</v>
      </c>
      <c r="K35" s="63" t="n">
        <v>43802</v>
      </c>
      <c r="L35" s="63" t="n">
        <v>43802</v>
      </c>
      <c r="M35" s="70" t="n">
        <v>121000</v>
      </c>
      <c r="N35" s="59" t="n"/>
      <c r="O35" s="64" t="n"/>
      <c r="P35" s="59" t="n"/>
      <c r="Q35" s="65" t="inlineStr">
        <is>
          <t>Proposal to erect a pool enclosure fence, complete with inground concrete swimming pool.</t>
        </is>
      </c>
      <c r="R35" s="61" t="inlineStr">
        <is>
          <t>Map</t>
        </is>
      </c>
      <c r="S35" s="61" t="inlineStr">
        <is>
          <t>Raw data</t>
        </is>
      </c>
    </row>
    <row r="36" ht="55" customHeight="1">
      <c r="A36" s="59" t="inlineStr">
        <is>
          <t>32 Ardmore Rd</t>
        </is>
      </c>
      <c r="B36" s="60" t="n">
        <v>90</v>
      </c>
      <c r="C36" s="59" t="inlineStr">
        <is>
          <t>112 Vesta Dr</t>
        </is>
      </c>
      <c r="D36" s="59" t="inlineStr">
        <is>
          <t>13 183848</t>
        </is>
      </c>
      <c r="E36" s="61" t="inlineStr">
        <is>
          <t>Building records request</t>
        </is>
      </c>
      <c r="F36" s="59" t="inlineStr">
        <is>
          <t>Addition or alteration</t>
        </is>
      </c>
      <c r="G36" s="59" t="inlineStr">
        <is>
          <t>Mechanical(MS); Plumbing(PS); Small Residential Projects</t>
        </is>
      </c>
      <c r="H36" s="59" t="inlineStr">
        <is>
          <t>SFD - Detached</t>
        </is>
      </c>
      <c r="I36" s="59" t="inlineStr">
        <is>
          <t>closed</t>
        </is>
      </c>
      <c r="J36" s="63" t="n">
        <v>41604</v>
      </c>
      <c r="K36" s="63" t="n">
        <v>41612</v>
      </c>
      <c r="L36" s="63" t="n">
        <v>45958</v>
      </c>
      <c r="M36" s="70" t="n">
        <v>500000</v>
      </c>
      <c r="N36" s="59" t="n"/>
      <c r="O36" s="64" t="n"/>
      <c r="P36" s="59" t="n"/>
      <c r="Q36" s="65" t="inlineStr">
        <is>
          <t>Plumbing - Proposal for multiple projects to an existing 2 1/2 storey SFD-detached dwelling. Scope of work includes a rear 2 storey addition, a rear second storey addition, interior alterations and basement finishing. See also 13 114303 ZZC and 13 126608 MV.</t>
        </is>
      </c>
      <c r="R36" s="61" t="inlineStr">
        <is>
          <t>Map</t>
        </is>
      </c>
      <c r="S36" s="61" t="inlineStr">
        <is>
          <t>Raw data</t>
        </is>
      </c>
    </row>
    <row r="37" ht="16" customHeight="1">
      <c r="A37" s="59" t="inlineStr">
        <is>
          <t>32 Ardmore Rd</t>
        </is>
      </c>
      <c r="B37" s="60" t="n">
        <v>96</v>
      </c>
      <c r="C37" s="59" t="inlineStr">
        <is>
          <t>210 Glenayr Rd</t>
        </is>
      </c>
      <c r="D37" s="59" t="inlineStr">
        <is>
          <t>22 115526</t>
        </is>
      </c>
      <c r="E37" s="61" t="inlineStr">
        <is>
          <t>Building records request</t>
        </is>
      </c>
      <c r="F37" s="59" t="inlineStr">
        <is>
          <t>Demolition</t>
        </is>
      </c>
      <c r="G37" s="59" t="inlineStr">
        <is>
          <t>Demolition Folder (DM)</t>
        </is>
      </c>
      <c r="H37" s="59" t="inlineStr">
        <is>
          <t>SFD - Detached</t>
        </is>
      </c>
      <c r="I37" s="59" t="inlineStr">
        <is>
          <t>closed</t>
        </is>
      </c>
      <c r="J37" s="63" t="n">
        <v>44610</v>
      </c>
      <c r="K37" s="63" t="n">
        <v>44806</v>
      </c>
      <c r="L37" s="63" t="n">
        <v>45461</v>
      </c>
      <c r="M37" s="70" t="n"/>
      <c r="N37" s="59" t="inlineStr">
        <is>
          <t>Unreliable (zero or out of band)</t>
        </is>
      </c>
      <c r="O37" s="64" t="n"/>
      <c r="P37" s="59" t="n"/>
      <c r="Q37" s="65" t="inlineStr">
        <is>
          <t>Proposal to demolish existing two storey detached dwelling.</t>
        </is>
      </c>
      <c r="R37" s="61" t="inlineStr">
        <is>
          <t>Map</t>
        </is>
      </c>
      <c r="S37" s="61" t="inlineStr">
        <is>
          <t>Raw data</t>
        </is>
      </c>
    </row>
    <row r="38" ht="68" customHeight="1">
      <c r="A38" s="59" t="inlineStr">
        <is>
          <t>32 Ardmore Rd</t>
        </is>
      </c>
      <c r="B38" s="60" t="n">
        <v>96</v>
      </c>
      <c r="C38" s="59" t="inlineStr">
        <is>
          <t>210 Glenayr Rd</t>
        </is>
      </c>
      <c r="D38" s="59" t="inlineStr">
        <is>
          <t>22 115562</t>
        </is>
      </c>
      <c r="E38" s="61" t="inlineStr">
        <is>
          <t>Building records request</t>
        </is>
      </c>
      <c r="F38" s="59" t="inlineStr">
        <is>
          <t>New building</t>
        </is>
      </c>
      <c r="G38" s="59" t="inlineStr">
        <is>
          <t>Mechanical(MS); Plumbing(PS); New Houses; Drain and Site Service</t>
        </is>
      </c>
      <c r="H38" s="59" t="inlineStr">
        <is>
          <t>SFD - Detached</t>
        </is>
      </c>
      <c r="I38" s="59" t="inlineStr">
        <is>
          <t>closed</t>
        </is>
      </c>
      <c r="J38" s="63" t="n">
        <v>44610</v>
      </c>
      <c r="K38" s="63" t="n">
        <v>44771</v>
      </c>
      <c r="L38" s="63" t="n">
        <v>45461</v>
      </c>
      <c r="M38" s="70" t="n">
        <v>5000000</v>
      </c>
      <c r="N38" s="59" t="n"/>
      <c r="O38" s="64" t="n">
        <v>1</v>
      </c>
      <c r="P38" s="59" t="n"/>
      <c r="Q38" s="65" t="inlineStr">
        <is>
          <t>REVISION 02: Revision for windows. (Main House). ORIG. BLD - NH - Main House permit: Construct a New 3-Storey SFD Detached House, with an integral garage with a "car elevator", including a basement nanny suite, front porch, a rear balcony, front 3rd storey balcony, rear yard pool, Basement Walkout, rear deck. (Only 1 balcony at rear at 2nd floor).</t>
        </is>
      </c>
      <c r="R38" s="61" t="inlineStr">
        <is>
          <t>Map</t>
        </is>
      </c>
      <c r="S38" s="61" t="inlineStr">
        <is>
          <t>Raw data</t>
        </is>
      </c>
    </row>
    <row r="39" ht="42" customHeight="1">
      <c r="A39" s="59" t="inlineStr">
        <is>
          <t>32 Ardmore Rd</t>
        </is>
      </c>
      <c r="B39" s="60" t="n">
        <v>96</v>
      </c>
      <c r="C39" s="59" t="inlineStr">
        <is>
          <t>210 Glenayr Rd</t>
        </is>
      </c>
      <c r="D39" s="59" t="inlineStr">
        <is>
          <t>22 212360</t>
        </is>
      </c>
      <c r="E39" s="61" t="inlineStr">
        <is>
          <t>Building records request</t>
        </is>
      </c>
      <c r="F39" s="59" t="inlineStr">
        <is>
          <t>Addition or alteration</t>
        </is>
      </c>
      <c r="G39" s="59" t="inlineStr">
        <is>
          <t>Mechanical(MS); Plumbing(PS); Small Residential Projects</t>
        </is>
      </c>
      <c r="H39" s="59" t="inlineStr">
        <is>
          <t>2 Unit - Detached; Laneway / Rear Yard Suite</t>
        </is>
      </c>
      <c r="I39" s="59" t="inlineStr">
        <is>
          <t>closed</t>
        </is>
      </c>
      <c r="J39" s="63" t="n">
        <v>44837</v>
      </c>
      <c r="K39" s="63" t="n">
        <v>44935</v>
      </c>
      <c r="L39" s="63" t="n">
        <v>45461</v>
      </c>
      <c r="M39" s="70" t="n">
        <v>800000</v>
      </c>
      <c r="N39" s="59" t="n"/>
      <c r="O39" s="64" t="n">
        <v>1</v>
      </c>
      <c r="P39" s="59" t="n"/>
      <c r="Q39" s="65" t="inlineStr">
        <is>
          <t>Rev 02: Revisions for windows and location of the furnace room. (GARDEN SUITE) ORIG. Permit: Construct a New 1-Storey Garden Suite (53sqm), at the rear yard of a Single Family Dwelling Detached House.</t>
        </is>
      </c>
      <c r="R39" s="61" t="inlineStr">
        <is>
          <t>Map</t>
        </is>
      </c>
      <c r="S39" s="61" t="inlineStr">
        <is>
          <t>Raw data</t>
        </is>
      </c>
    </row>
    <row r="40" ht="68" customHeight="1">
      <c r="A40" s="59" t="inlineStr">
        <is>
          <t>32 Ardmore Rd</t>
        </is>
      </c>
      <c r="B40" s="60" t="n">
        <v>108</v>
      </c>
      <c r="C40" s="59" t="inlineStr">
        <is>
          <t>212 Glenayr Rd</t>
        </is>
      </c>
      <c r="D40" s="59" t="inlineStr">
        <is>
          <t>24 123645</t>
        </is>
      </c>
      <c r="E40" s="61" t="inlineStr">
        <is>
          <t>Check permit status</t>
        </is>
      </c>
      <c r="F40" s="59" t="inlineStr">
        <is>
          <t>New building</t>
        </is>
      </c>
      <c r="G40" s="59" t="inlineStr">
        <is>
          <t>New Houses; Plumbing(PS); Drain and Site Service</t>
        </is>
      </c>
      <c r="H40" s="59" t="inlineStr">
        <is>
          <t>SFD - Detached</t>
        </is>
      </c>
      <c r="I40" s="59" t="inlineStr">
        <is>
          <t>examiner's notice sent</t>
        </is>
      </c>
      <c r="J40" s="63" t="n">
        <v>45359</v>
      </c>
      <c r="K40" s="63" t="n"/>
      <c r="L40" s="63" t="n"/>
      <c r="M40" s="70" t="n">
        <v>1500000</v>
      </c>
      <c r="N40" s="59" t="n"/>
      <c r="O40" s="64" t="n">
        <v>1</v>
      </c>
      <c r="P40" s="59" t="n"/>
      <c r="Q40" s="65" t="inlineStr">
        <is>
          <t>Plumbing - Proposal to construct a new three-storey detached dwelling with a ground level front integral garage (including a car lift), a rear ground level deck and patio, a rear second floor balcony, front and rear third floor balconies, and a rear basement walkout and rear in-ground swimming pool. See also 23-180571 STE 12 MV</t>
        </is>
      </c>
      <c r="R40" s="61" t="inlineStr">
        <is>
          <t>Map</t>
        </is>
      </c>
      <c r="S40" s="61" t="inlineStr">
        <is>
          <t>Raw data</t>
        </is>
      </c>
    </row>
    <row r="41" ht="42" customHeight="1">
      <c r="A41" s="59" t="inlineStr">
        <is>
          <t>32 Ardmore Rd</t>
        </is>
      </c>
      <c r="B41" s="60" t="n">
        <v>108</v>
      </c>
      <c r="C41" s="59" t="inlineStr">
        <is>
          <t>212 Glenayr Rd</t>
        </is>
      </c>
      <c r="D41" s="59" t="inlineStr">
        <is>
          <t>24 123655</t>
        </is>
      </c>
      <c r="E41" s="61" t="inlineStr">
        <is>
          <t>Check permit status</t>
        </is>
      </c>
      <c r="F41" s="59" t="inlineStr">
        <is>
          <t>Demolition</t>
        </is>
      </c>
      <c r="G41" s="59" t="inlineStr">
        <is>
          <t>Demolition Folder (DM)</t>
        </is>
      </c>
      <c r="H41" s="59" t="inlineStr">
        <is>
          <t>SFD - Detached</t>
        </is>
      </c>
      <c r="I41" s="59" t="inlineStr">
        <is>
          <t>under review</t>
        </is>
      </c>
      <c r="J41" s="63" t="n">
        <v>45359</v>
      </c>
      <c r="K41" s="63" t="n"/>
      <c r="L41" s="63" t="n"/>
      <c r="M41" s="70" t="n"/>
      <c r="N41" s="59" t="inlineStr">
        <is>
          <t>Unreliable (zero or out of band)</t>
        </is>
      </c>
      <c r="O41" s="64" t="n"/>
      <c r="P41" s="59" t="n"/>
      <c r="Q41" s="65" t="inlineStr">
        <is>
          <t>Proposal to demolish existing two-storey single family dwelling and construct a new three-storey single family dwelling. See also 23-180571 STE 12 MV &amp; 24-123645 BLD 00 NH</t>
        </is>
      </c>
      <c r="R41" s="61" t="inlineStr">
        <is>
          <t>Map</t>
        </is>
      </c>
      <c r="S41" s="61" t="inlineStr">
        <is>
          <t>Raw data</t>
        </is>
      </c>
    </row>
    <row r="42" ht="16" customHeight="1">
      <c r="A42" s="59" t="inlineStr">
        <is>
          <t>32 Ardmore Rd</t>
        </is>
      </c>
      <c r="B42" s="60" t="n">
        <v>114</v>
      </c>
      <c r="C42" s="59" t="inlineStr">
        <is>
          <t>214 Glenayr Rd</t>
        </is>
      </c>
      <c r="D42" s="59" t="inlineStr">
        <is>
          <t>02 117416</t>
        </is>
      </c>
      <c r="E42" s="61" t="inlineStr">
        <is>
          <t>Building records request</t>
        </is>
      </c>
      <c r="F42" s="59" t="inlineStr">
        <is>
          <t>Addition or alteration</t>
        </is>
      </c>
      <c r="G42" s="59" t="inlineStr">
        <is>
          <t>Small Residential Projects</t>
        </is>
      </c>
      <c r="H42" s="59" t="inlineStr">
        <is>
          <t>SFD - Detached</t>
        </is>
      </c>
      <c r="I42" s="59" t="inlineStr">
        <is>
          <t>closed</t>
        </is>
      </c>
      <c r="J42" s="63" t="n">
        <v>37327</v>
      </c>
      <c r="K42" s="63" t="n">
        <v>37327</v>
      </c>
      <c r="L42" s="63" t="n">
        <v>43356</v>
      </c>
      <c r="M42" s="70" t="n">
        <v>80000</v>
      </c>
      <c r="N42" s="59" t="n"/>
      <c r="O42" s="64" t="n"/>
      <c r="P42" s="59" t="n"/>
      <c r="Q42" s="65" t="inlineStr">
        <is>
          <t>Interior Alterations, New Railing on Front Porch</t>
        </is>
      </c>
      <c r="R42" s="61" t="inlineStr">
        <is>
          <t>Map</t>
        </is>
      </c>
      <c r="S42" s="61" t="inlineStr">
        <is>
          <t>Raw data</t>
        </is>
      </c>
    </row>
    <row r="43" ht="29" customHeight="1">
      <c r="A43" s="59" t="inlineStr">
        <is>
          <t>32 Ardmore Rd</t>
        </is>
      </c>
      <c r="B43" s="60" t="n">
        <v>114</v>
      </c>
      <c r="C43" s="59" t="inlineStr">
        <is>
          <t>218 Vesta Dr</t>
        </is>
      </c>
      <c r="D43" s="59" t="inlineStr">
        <is>
          <t>17 254910</t>
        </is>
      </c>
      <c r="E43" s="61" t="inlineStr">
        <is>
          <t>Building records request</t>
        </is>
      </c>
      <c r="F43" s="59" t="inlineStr">
        <is>
          <t>Demolition</t>
        </is>
      </c>
      <c r="G43" s="59" t="inlineStr">
        <is>
          <t>Demolition Folder (DM)</t>
        </is>
      </c>
      <c r="H43" s="59" t="inlineStr">
        <is>
          <t>SFD - Detached</t>
        </is>
      </c>
      <c r="I43" s="59" t="inlineStr">
        <is>
          <t>closed</t>
        </is>
      </c>
      <c r="J43" s="63" t="n">
        <v>43038</v>
      </c>
      <c r="K43" s="63" t="n">
        <v>43109</v>
      </c>
      <c r="L43" s="63" t="n">
        <v>43166</v>
      </c>
      <c r="M43" s="70" t="n"/>
      <c r="N43" s="59" t="inlineStr">
        <is>
          <t>Unreliable (zero or out of band)</t>
        </is>
      </c>
      <c r="O43" s="64" t="n"/>
      <c r="P43" s="59" t="n"/>
      <c r="Q43" s="65" t="inlineStr">
        <is>
          <t>Proposal to demolish existing single family dwelling and construct new two storey single family dwelling with finished basement.</t>
        </is>
      </c>
      <c r="R43" s="61" t="inlineStr">
        <is>
          <t>Map</t>
        </is>
      </c>
      <c r="S43" s="61" t="inlineStr">
        <is>
          <t>Raw data</t>
        </is>
      </c>
    </row>
    <row r="44" ht="55" customHeight="1">
      <c r="A44" s="59" t="inlineStr">
        <is>
          <t>32 Ardmore Rd</t>
        </is>
      </c>
      <c r="B44" s="60" t="n">
        <v>114</v>
      </c>
      <c r="C44" s="59" t="inlineStr">
        <is>
          <t>218 Vesta Dr</t>
        </is>
      </c>
      <c r="D44" s="59" t="inlineStr">
        <is>
          <t>17 254918</t>
        </is>
      </c>
      <c r="E44" s="61" t="inlineStr">
        <is>
          <t>Building records request</t>
        </is>
      </c>
      <c r="F44" s="59" t="inlineStr">
        <is>
          <t>New building</t>
        </is>
      </c>
      <c r="G44" s="59" t="inlineStr">
        <is>
          <t>Mechanical(MS); Plumbing(PS); New Houses; Drain and Site Service</t>
        </is>
      </c>
      <c r="H44" s="59" t="inlineStr">
        <is>
          <t>SFD - Detached</t>
        </is>
      </c>
      <c r="I44" s="59" t="inlineStr">
        <is>
          <t>closed</t>
        </is>
      </c>
      <c r="J44" s="63" t="n">
        <v>43213</v>
      </c>
      <c r="K44" s="63" t="n">
        <v>43224</v>
      </c>
      <c r="L44" s="63" t="n">
        <v>43767</v>
      </c>
      <c r="M44" s="70" t="n">
        <v>500000</v>
      </c>
      <c r="N44" s="59" t="n"/>
      <c r="O44" s="64" t="n">
        <v>1</v>
      </c>
      <c r="P44" s="59" t="n"/>
      <c r="Q44" s="65" t="inlineStr">
        <is>
          <t>Revision 1 - to building height, parking space width and increase gfa changes due to C of A - Proposal to demolish existing single family dwelling and construct new two storey single family dwelling with finished basement.</t>
        </is>
      </c>
      <c r="R44" s="61" t="inlineStr">
        <is>
          <t>Map</t>
        </is>
      </c>
      <c r="S44" s="61" t="inlineStr">
        <is>
          <t>Raw data</t>
        </is>
      </c>
    </row>
    <row r="45" ht="16" customHeight="1">
      <c r="A45" s="59" t="inlineStr">
        <is>
          <t>32 Ardmore Rd</t>
        </is>
      </c>
      <c r="B45" s="60" t="n">
        <v>114</v>
      </c>
      <c r="C45" s="59" t="inlineStr">
        <is>
          <t>218 Vesta Dr</t>
        </is>
      </c>
      <c r="D45" s="59" t="inlineStr">
        <is>
          <t>21 132289</t>
        </is>
      </c>
      <c r="E45" s="61" t="inlineStr">
        <is>
          <t>Building records request</t>
        </is>
      </c>
      <c r="F45" s="59" t="inlineStr">
        <is>
          <t>Addition or alteration</t>
        </is>
      </c>
      <c r="G45" s="59" t="inlineStr">
        <is>
          <t>Small Residential Projects</t>
        </is>
      </c>
      <c r="H45" s="59" t="inlineStr">
        <is>
          <t>SFD - Detached</t>
        </is>
      </c>
      <c r="I45" s="59" t="inlineStr">
        <is>
          <t>closed</t>
        </is>
      </c>
      <c r="J45" s="63" t="n">
        <v>44281</v>
      </c>
      <c r="K45" s="63" t="n"/>
      <c r="L45" s="63" t="n">
        <v>44285</v>
      </c>
      <c r="M45" s="70" t="n">
        <v>10000</v>
      </c>
      <c r="N45" s="59" t="n"/>
      <c r="O45" s="64" t="n"/>
      <c r="P45" s="59" t="n"/>
      <c r="Q45" s="65" t="inlineStr">
        <is>
          <t>Proposal to install a pool and pool fence enclosure.</t>
        </is>
      </c>
      <c r="R45" s="61" t="inlineStr">
        <is>
          <t>Map</t>
        </is>
      </c>
      <c r="S45" s="61" t="inlineStr">
        <is>
          <t>Raw data</t>
        </is>
      </c>
    </row>
    <row r="46" ht="29" customHeight="1">
      <c r="A46" s="59" t="inlineStr">
        <is>
          <t>32 Ardmore Rd</t>
        </is>
      </c>
      <c r="B46" s="60" t="n">
        <v>114</v>
      </c>
      <c r="C46" s="59" t="inlineStr">
        <is>
          <t>218 Vesta Dr</t>
        </is>
      </c>
      <c r="D46" s="59" t="inlineStr">
        <is>
          <t>21 144306</t>
        </is>
      </c>
      <c r="E46" s="61" t="inlineStr">
        <is>
          <t>Building records request</t>
        </is>
      </c>
      <c r="F46" s="59" t="inlineStr">
        <is>
          <t>Addition or alteration</t>
        </is>
      </c>
      <c r="G46" s="59" t="inlineStr">
        <is>
          <t>Small Residential Projects</t>
        </is>
      </c>
      <c r="H46" s="59" t="inlineStr">
        <is>
          <t>SFD - Detached</t>
        </is>
      </c>
      <c r="I46" s="59" t="inlineStr">
        <is>
          <t>closed</t>
        </is>
      </c>
      <c r="J46" s="63" t="n">
        <v>44308</v>
      </c>
      <c r="K46" s="63" t="n">
        <v>44403</v>
      </c>
      <c r="L46" s="63" t="n">
        <v>45971</v>
      </c>
      <c r="M46" s="70" t="n">
        <v>10000</v>
      </c>
      <c r="N46" s="59" t="n"/>
      <c r="O46" s="64" t="n"/>
      <c r="P46" s="59" t="n"/>
      <c r="Q46" s="65" t="inlineStr">
        <is>
          <t>Proposal to change the size and material of the rear deck and add a cold room in the basement.</t>
        </is>
      </c>
      <c r="R46" s="61" t="inlineStr">
        <is>
          <t>Map</t>
        </is>
      </c>
      <c r="S46" s="61" t="inlineStr">
        <is>
          <t>Raw data</t>
        </is>
      </c>
    </row>
    <row r="47" ht="29" customHeight="1">
      <c r="A47" s="59" t="inlineStr">
        <is>
          <t>32 Ardmore Rd</t>
        </is>
      </c>
      <c r="B47" s="60" t="n">
        <v>114</v>
      </c>
      <c r="C47" s="59" t="inlineStr">
        <is>
          <t>214 Glenayr Rd</t>
        </is>
      </c>
      <c r="D47" s="59" t="inlineStr">
        <is>
          <t>23 183490</t>
        </is>
      </c>
      <c r="E47" s="61" t="inlineStr">
        <is>
          <t>Building records request</t>
        </is>
      </c>
      <c r="F47" s="59" t="inlineStr">
        <is>
          <t>Addition or alteration</t>
        </is>
      </c>
      <c r="G47" s="59" t="inlineStr">
        <is>
          <t>Small Residential Projects</t>
        </is>
      </c>
      <c r="H47" s="59" t="inlineStr">
        <is>
          <t>SFD - Detached</t>
        </is>
      </c>
      <c r="I47" s="59" t="inlineStr">
        <is>
          <t>closed</t>
        </is>
      </c>
      <c r="J47" s="63" t="n">
        <v>45229</v>
      </c>
      <c r="K47" s="63" t="n">
        <v>45238</v>
      </c>
      <c r="L47" s="63" t="n">
        <v>45576</v>
      </c>
      <c r="M47" s="70" t="n">
        <v>50000</v>
      </c>
      <c r="N47" s="59" t="n"/>
      <c r="O47" s="64" t="n"/>
      <c r="P47" s="59" t="n"/>
      <c r="Q47" s="65" t="inlineStr">
        <is>
          <t>REV - proposal for removing two foundation walls to enlarge cold room size</t>
        </is>
      </c>
      <c r="R47" s="61" t="inlineStr">
        <is>
          <t>Map</t>
        </is>
      </c>
      <c r="S47" s="61" t="inlineStr">
        <is>
          <t>Raw data</t>
        </is>
      </c>
    </row>
    <row r="48" ht="29" customHeight="1">
      <c r="A48" s="59" t="inlineStr">
        <is>
          <t>32 Ardmore Rd</t>
        </is>
      </c>
      <c r="B48" s="60" t="n">
        <v>114</v>
      </c>
      <c r="C48" s="59" t="inlineStr">
        <is>
          <t>214 Glenayr Rd</t>
        </is>
      </c>
      <c r="D48" s="59" t="inlineStr">
        <is>
          <t>26 215055</t>
        </is>
      </c>
      <c r="E48" s="61" t="inlineStr">
        <is>
          <t>Check permit status</t>
        </is>
      </c>
      <c r="F48" s="59" t="inlineStr">
        <is>
          <t>Addition or alteration</t>
        </is>
      </c>
      <c r="G48" s="59" t="inlineStr">
        <is>
          <t>Drain and Site Service; Small Residential Projects; Plumbing(PS)</t>
        </is>
      </c>
      <c r="H48" s="59" t="inlineStr">
        <is>
          <t>SFD - Detached</t>
        </is>
      </c>
      <c r="I48" s="59" t="inlineStr">
        <is>
          <t>issued</t>
        </is>
      </c>
      <c r="J48" s="63" t="n">
        <v>46240</v>
      </c>
      <c r="K48" s="63" t="n">
        <v>46246</v>
      </c>
      <c r="L48" s="63" t="n"/>
      <c r="M48" s="70" t="n">
        <v>50000</v>
      </c>
      <c r="N48" s="59" t="n"/>
      <c r="O48" s="64" t="n"/>
      <c r="P48" s="59" t="n"/>
      <c r="Q48" s="65" t="inlineStr">
        <is>
          <t>Plumbing - Proposed basement underpinning and interior alterations to existing dwelling.</t>
        </is>
      </c>
      <c r="R48" s="61" t="inlineStr">
        <is>
          <t>Map</t>
        </is>
      </c>
      <c r="S48" s="61" t="inlineStr">
        <is>
          <t>Raw data</t>
        </is>
      </c>
    </row>
    <row r="49" ht="16" customHeight="1">
      <c r="A49" s="59" t="inlineStr">
        <is>
          <t>32 Ardmore Rd</t>
        </is>
      </c>
      <c r="B49" s="60" t="n">
        <v>118</v>
      </c>
      <c r="C49" s="59" t="inlineStr">
        <is>
          <t>116 Glenayr Rd</t>
        </is>
      </c>
      <c r="D49" s="59" t="inlineStr">
        <is>
          <t>06 179071</t>
        </is>
      </c>
      <c r="E49" s="61" t="inlineStr">
        <is>
          <t>Building records request</t>
        </is>
      </c>
      <c r="F49" s="59" t="inlineStr">
        <is>
          <t>Addition or alteration</t>
        </is>
      </c>
      <c r="G49" s="59" t="inlineStr">
        <is>
          <t>Small Residential Projects</t>
        </is>
      </c>
      <c r="H49" s="59" t="inlineStr">
        <is>
          <t>SFD - Detached</t>
        </is>
      </c>
      <c r="I49" s="59" t="inlineStr">
        <is>
          <t>closed</t>
        </is>
      </c>
      <c r="J49" s="63" t="n">
        <v>38986</v>
      </c>
      <c r="K49" s="63" t="n">
        <v>38986</v>
      </c>
      <c r="L49" s="63" t="n">
        <v>45964</v>
      </c>
      <c r="M49" s="70" t="n">
        <v>40000</v>
      </c>
      <c r="N49" s="59" t="n"/>
      <c r="O49" s="64" t="n"/>
      <c r="P49" s="59" t="n"/>
      <c r="Q49" s="65" t="inlineStr">
        <is>
          <t>Underpin part of basement foundation walls.</t>
        </is>
      </c>
      <c r="R49" s="61" t="inlineStr">
        <is>
          <t>Map</t>
        </is>
      </c>
      <c r="S49" s="61" t="inlineStr">
        <is>
          <t>Raw data</t>
        </is>
      </c>
    </row>
    <row r="50" ht="16" customHeight="1">
      <c r="A50" s="59" t="inlineStr">
        <is>
          <t>32 Ardmore Rd</t>
        </is>
      </c>
      <c r="B50" s="60" t="n">
        <v>118</v>
      </c>
      <c r="C50" s="59" t="inlineStr">
        <is>
          <t>109 Vesta Dr</t>
        </is>
      </c>
      <c r="D50" s="59" t="inlineStr">
        <is>
          <t>06 188895</t>
        </is>
      </c>
      <c r="E50" s="61" t="inlineStr">
        <is>
          <t>Building records request</t>
        </is>
      </c>
      <c r="F50" s="59" t="inlineStr">
        <is>
          <t>Addition or alteration</t>
        </is>
      </c>
      <c r="G50" s="59" t="inlineStr">
        <is>
          <t>Small Residential Projects</t>
        </is>
      </c>
      <c r="H50" s="59" t="inlineStr">
        <is>
          <t>SFD - Detached</t>
        </is>
      </c>
      <c r="I50" s="59" t="inlineStr">
        <is>
          <t>under inspection</t>
        </is>
      </c>
      <c r="J50" s="63" t="n">
        <v>39024</v>
      </c>
      <c r="K50" s="63" t="n">
        <v>39038</v>
      </c>
      <c r="L50" s="63" t="n"/>
      <c r="M50" s="70" t="n">
        <v>45000</v>
      </c>
      <c r="N50" s="59" t="n"/>
      <c r="O50" s="64" t="n"/>
      <c r="P50" s="59" t="n"/>
      <c r="Q50" s="65" t="inlineStr">
        <is>
          <t>Extend basement at rear with covered porch above.</t>
        </is>
      </c>
      <c r="R50" s="61" t="inlineStr">
        <is>
          <t>Map</t>
        </is>
      </c>
      <c r="S50" s="61" t="inlineStr">
        <is>
          <t>Raw data</t>
        </is>
      </c>
    </row>
    <row r="51" ht="16" customHeight="1">
      <c r="A51" s="59" t="inlineStr">
        <is>
          <t>32 Ardmore Rd</t>
        </is>
      </c>
      <c r="B51" s="60" t="n">
        <v>122</v>
      </c>
      <c r="C51" s="59" t="inlineStr">
        <is>
          <t>33 Ardmore Rd</t>
        </is>
      </c>
      <c r="D51" s="59" t="inlineStr">
        <is>
          <t>18 206516</t>
        </is>
      </c>
      <c r="E51" s="61" t="inlineStr">
        <is>
          <t>Building records request</t>
        </is>
      </c>
      <c r="F51" s="59" t="inlineStr">
        <is>
          <t>Other</t>
        </is>
      </c>
      <c r="G51" s="59" t="inlineStr">
        <is>
          <t>Drain and Site Service</t>
        </is>
      </c>
      <c r="H51" s="59" t="inlineStr">
        <is>
          <t>SFD - Detached</t>
        </is>
      </c>
      <c r="I51" s="59" t="inlineStr">
        <is>
          <t>closed</t>
        </is>
      </c>
      <c r="J51" s="63" t="n">
        <v>43321</v>
      </c>
      <c r="K51" s="63" t="n">
        <v>43321</v>
      </c>
      <c r="L51" s="63" t="n">
        <v>43326</v>
      </c>
      <c r="M51" s="70" t="n"/>
      <c r="N51" s="59" t="inlineStr">
        <is>
          <t>Not declared</t>
        </is>
      </c>
      <c r="O51" s="64" t="n"/>
      <c r="P51" s="59" t="n"/>
      <c r="Q51" s="65" t="inlineStr">
        <is>
          <t>Proposal to install a back water valve</t>
        </is>
      </c>
      <c r="R51" s="61" t="inlineStr">
        <is>
          <t>Map</t>
        </is>
      </c>
      <c r="S51" s="61" t="inlineStr">
        <is>
          <t>Raw data</t>
        </is>
      </c>
    </row>
    <row r="52" ht="29" customHeight="1">
      <c r="A52" s="59" t="inlineStr">
        <is>
          <t>32 Ardmore Rd</t>
        </is>
      </c>
      <c r="B52" s="60" t="n">
        <v>122</v>
      </c>
      <c r="C52" s="59" t="inlineStr">
        <is>
          <t>33 Ardmore Rd</t>
        </is>
      </c>
      <c r="D52" s="59" t="inlineStr">
        <is>
          <t>22 218022</t>
        </is>
      </c>
      <c r="E52" s="61" t="inlineStr">
        <is>
          <t>Check permit status</t>
        </is>
      </c>
      <c r="F52" s="59" t="inlineStr">
        <is>
          <t>Addition or alteration</t>
        </is>
      </c>
      <c r="G52" s="59" t="inlineStr">
        <is>
          <t>Small Residential Projects</t>
        </is>
      </c>
      <c r="H52" s="59" t="inlineStr">
        <is>
          <t>SFD - Detached</t>
        </is>
      </c>
      <c r="I52" s="59" t="inlineStr">
        <is>
          <t>issued</t>
        </is>
      </c>
      <c r="J52" s="63" t="n">
        <v>44851</v>
      </c>
      <c r="K52" s="63" t="n">
        <v>44967</v>
      </c>
      <c r="L52" s="63" t="n"/>
      <c r="M52" s="70" t="n">
        <v>50000</v>
      </c>
      <c r="N52" s="59" t="n"/>
      <c r="O52" s="64" t="n"/>
      <c r="P52" s="59" t="n"/>
      <c r="Q52" s="65" t="inlineStr">
        <is>
          <t>Proposed interior alterations to exisitng Single Family Dwelling, work to include removal of interior walls</t>
        </is>
      </c>
      <c r="R52" s="61" t="inlineStr">
        <is>
          <t>Map</t>
        </is>
      </c>
      <c r="S52" s="61" t="inlineStr">
        <is>
          <t>Raw data</t>
        </is>
      </c>
    </row>
    <row r="53" ht="16" customHeight="1">
      <c r="A53" s="59" t="inlineStr">
        <is>
          <t>32 Ardmore Rd</t>
        </is>
      </c>
      <c r="B53" s="60" t="n">
        <v>123</v>
      </c>
      <c r="C53" s="59" t="inlineStr">
        <is>
          <t>20 Silverwood Ave</t>
        </is>
      </c>
      <c r="D53" s="59" t="inlineStr">
        <is>
          <t>22 203536</t>
        </is>
      </c>
      <c r="E53" s="61" t="inlineStr">
        <is>
          <t>Building records request</t>
        </is>
      </c>
      <c r="F53" s="59" t="inlineStr">
        <is>
          <t>Addition or alteration</t>
        </is>
      </c>
      <c r="G53" s="59" t="inlineStr">
        <is>
          <t>Small Residential Projects</t>
        </is>
      </c>
      <c r="H53" s="59" t="inlineStr">
        <is>
          <t>SFD - Detached</t>
        </is>
      </c>
      <c r="I53" s="59" t="inlineStr">
        <is>
          <t>closed</t>
        </is>
      </c>
      <c r="J53" s="63" t="n">
        <v>44818</v>
      </c>
      <c r="K53" s="63" t="n">
        <v>44831</v>
      </c>
      <c r="L53" s="63" t="n">
        <v>44914</v>
      </c>
      <c r="M53" s="70" t="n">
        <v>12500</v>
      </c>
      <c r="N53" s="59" t="n"/>
      <c r="O53" s="64" t="n"/>
      <c r="P53" s="59" t="n"/>
      <c r="Q53" s="65" t="inlineStr">
        <is>
          <t>proposing to revovate an existing 2nd floor bathroom</t>
        </is>
      </c>
      <c r="R53" s="61" t="inlineStr">
        <is>
          <t>Map</t>
        </is>
      </c>
      <c r="S53" s="61" t="inlineStr">
        <is>
          <t>Raw data</t>
        </is>
      </c>
    </row>
    <row r="54" ht="29" customHeight="1">
      <c r="A54" s="59" t="inlineStr">
        <is>
          <t>32 Ardmore Rd</t>
        </is>
      </c>
      <c r="B54" s="60" t="n">
        <v>125</v>
      </c>
      <c r="C54" s="59" t="inlineStr">
        <is>
          <t>216 Glenayr Rd</t>
        </is>
      </c>
      <c r="D54" s="59" t="inlineStr">
        <is>
          <t>19 151733</t>
        </is>
      </c>
      <c r="E54" s="61" t="inlineStr">
        <is>
          <t>Building records request</t>
        </is>
      </c>
      <c r="F54" s="59" t="inlineStr">
        <is>
          <t>New building</t>
        </is>
      </c>
      <c r="G54" s="59" t="inlineStr">
        <is>
          <t>Mechanical(MS); Plumbing(PS); New Houses; Drain and Site Service</t>
        </is>
      </c>
      <c r="H54" s="59" t="inlineStr">
        <is>
          <t>SFD - Detached</t>
        </is>
      </c>
      <c r="I54" s="59" t="inlineStr">
        <is>
          <t>closed</t>
        </is>
      </c>
      <c r="J54" s="63" t="n">
        <v>43658</v>
      </c>
      <c r="K54" s="63" t="n">
        <v>43671</v>
      </c>
      <c r="L54" s="63" t="n">
        <v>44285</v>
      </c>
      <c r="M54" s="70" t="n">
        <v>750000</v>
      </c>
      <c r="N54" s="59" t="n"/>
      <c r="O54" s="64" t="n">
        <v>1</v>
      </c>
      <c r="P54" s="59" t="n"/>
      <c r="Q54" s="65" t="inlineStr">
        <is>
          <t>Drain - Proposed new 2 storey single family dwelling with an integral garage and finished basement - Backwater valve</t>
        </is>
      </c>
      <c r="R54" s="61" t="inlineStr">
        <is>
          <t>Map</t>
        </is>
      </c>
      <c r="S54" s="61" t="inlineStr">
        <is>
          <t>Raw data</t>
        </is>
      </c>
    </row>
    <row r="55" ht="16" customHeight="1">
      <c r="A55" s="59" t="inlineStr">
        <is>
          <t>32 Ardmore Rd</t>
        </is>
      </c>
      <c r="B55" s="60" t="n">
        <v>125</v>
      </c>
      <c r="C55" s="59" t="inlineStr">
        <is>
          <t>216 Glenayr Rd</t>
        </is>
      </c>
      <c r="D55" s="59" t="inlineStr">
        <is>
          <t>19 151770</t>
        </is>
      </c>
      <c r="E55" s="61" t="inlineStr">
        <is>
          <t>Building records request</t>
        </is>
      </c>
      <c r="F55" s="59" t="inlineStr">
        <is>
          <t>Demolition</t>
        </is>
      </c>
      <c r="G55" s="59" t="inlineStr">
        <is>
          <t>Demolition Folder (DM)</t>
        </is>
      </c>
      <c r="H55" s="59" t="inlineStr">
        <is>
          <t>SFD - Detached</t>
        </is>
      </c>
      <c r="I55" s="59" t="inlineStr">
        <is>
          <t>closed</t>
        </is>
      </c>
      <c r="J55" s="63" t="n">
        <v>43594</v>
      </c>
      <c r="K55" s="63" t="n">
        <v>43621</v>
      </c>
      <c r="L55" s="63" t="n">
        <v>43858</v>
      </c>
      <c r="M55" s="70" t="n"/>
      <c r="N55" s="59" t="inlineStr">
        <is>
          <t>Unreliable (zero or out of band)</t>
        </is>
      </c>
      <c r="O55" s="64" t="n"/>
      <c r="P55" s="59" t="n"/>
      <c r="Q55" s="65" t="inlineStr">
        <is>
          <t>Demolish existing two storey dwelling</t>
        </is>
      </c>
      <c r="R55" s="61" t="inlineStr">
        <is>
          <t>Map</t>
        </is>
      </c>
      <c r="S55" s="61" t="inlineStr">
        <is>
          <t>Raw data</t>
        </is>
      </c>
    </row>
    <row r="56" ht="16" customHeight="1">
      <c r="A56" s="59" t="inlineStr">
        <is>
          <t>32 Ardmore Rd</t>
        </is>
      </c>
      <c r="B56" s="60" t="n">
        <v>129</v>
      </c>
      <c r="C56" s="59" t="inlineStr">
        <is>
          <t>221 Glenayr Rd</t>
        </is>
      </c>
      <c r="D56" s="59" t="inlineStr">
        <is>
          <t>05 210447</t>
        </is>
      </c>
      <c r="E56" s="61" t="inlineStr">
        <is>
          <t>Building records request</t>
        </is>
      </c>
      <c r="F56" s="59" t="inlineStr">
        <is>
          <t>Addition or alteration</t>
        </is>
      </c>
      <c r="G56" s="59" t="inlineStr">
        <is>
          <t>Plumbing(PS); Small Residential Projects</t>
        </is>
      </c>
      <c r="H56" s="59" t="inlineStr">
        <is>
          <t>SFD - Detached</t>
        </is>
      </c>
      <c r="I56" s="59" t="inlineStr">
        <is>
          <t>cancelled</t>
        </is>
      </c>
      <c r="J56" s="63" t="n">
        <v>38702</v>
      </c>
      <c r="K56" s="63" t="n">
        <v>38720</v>
      </c>
      <c r="L56" s="63" t="n">
        <v>44020</v>
      </c>
      <c r="M56" s="70" t="n">
        <v>30000</v>
      </c>
      <c r="N56" s="59" t="n"/>
      <c r="O56" s="64" t="n"/>
      <c r="P56" s="59" t="n"/>
      <c r="Q56" s="65" t="inlineStr">
        <is>
          <t>Plumbing - Construct second floor rear addition. - Addition(s)</t>
        </is>
      </c>
      <c r="R56" s="61" t="inlineStr">
        <is>
          <t>Map</t>
        </is>
      </c>
      <c r="S56" s="61" t="inlineStr">
        <is>
          <t>Raw data</t>
        </is>
      </c>
    </row>
    <row r="57" ht="42" customHeight="1">
      <c r="A57" s="59" t="inlineStr">
        <is>
          <t>32 Ardmore Rd</t>
        </is>
      </c>
      <c r="B57" s="60" t="n">
        <v>130</v>
      </c>
      <c r="C57" s="59" t="inlineStr">
        <is>
          <t>16 Ardmore Rd</t>
        </is>
      </c>
      <c r="D57" s="59" t="inlineStr">
        <is>
          <t>18 202539</t>
        </is>
      </c>
      <c r="E57" s="61" t="inlineStr">
        <is>
          <t>Building records request</t>
        </is>
      </c>
      <c r="F57" s="59" t="inlineStr">
        <is>
          <t>New building</t>
        </is>
      </c>
      <c r="G57" s="59" t="inlineStr">
        <is>
          <t>Mechanical(MS); Plumbing(PS); New Houses; Drain and Site Service</t>
        </is>
      </c>
      <c r="H57" s="59" t="inlineStr">
        <is>
          <t>SFD - Detached</t>
        </is>
      </c>
      <c r="I57" s="59" t="inlineStr">
        <is>
          <t>closed</t>
        </is>
      </c>
      <c r="J57" s="63" t="n">
        <v>43312</v>
      </c>
      <c r="K57" s="63" t="n">
        <v>43732</v>
      </c>
      <c r="L57" s="63" t="n">
        <v>45014</v>
      </c>
      <c r="M57" s="70" t="n">
        <v>1000000</v>
      </c>
      <c r="N57" s="59" t="n"/>
      <c r="O57" s="64" t="n">
        <v>1</v>
      </c>
      <c r="P57" s="59" t="n"/>
      <c r="Q57" s="65" t="inlineStr">
        <is>
          <t>Plumbing - Proposed demolition of existing single family dwelling to be replaced by new 2 storey single family dwelling with finished basement and integrated garage.</t>
        </is>
      </c>
      <c r="R57" s="61" t="inlineStr">
        <is>
          <t>Map</t>
        </is>
      </c>
      <c r="S57" s="61" t="inlineStr">
        <is>
          <t>Raw data</t>
        </is>
      </c>
    </row>
    <row r="58" ht="42" customHeight="1">
      <c r="A58" s="59" t="inlineStr">
        <is>
          <t>32 Ardmore Rd</t>
        </is>
      </c>
      <c r="B58" s="60" t="n">
        <v>130</v>
      </c>
      <c r="C58" s="59" t="inlineStr">
        <is>
          <t>16 Ardmore Rd</t>
        </is>
      </c>
      <c r="D58" s="59" t="inlineStr">
        <is>
          <t>18 202666</t>
        </is>
      </c>
      <c r="E58" s="61" t="inlineStr">
        <is>
          <t>Building records request</t>
        </is>
      </c>
      <c r="F58" s="59" t="inlineStr">
        <is>
          <t>Demolition</t>
        </is>
      </c>
      <c r="G58" s="59" t="inlineStr">
        <is>
          <t>Demolition Folder (DM)</t>
        </is>
      </c>
      <c r="H58" s="59" t="inlineStr">
        <is>
          <t>SFD - Detached</t>
        </is>
      </c>
      <c r="I58" s="59" t="inlineStr">
        <is>
          <t>closed</t>
        </is>
      </c>
      <c r="J58" s="63" t="n">
        <v>43312</v>
      </c>
      <c r="K58" s="63" t="n">
        <v>43451</v>
      </c>
      <c r="L58" s="63" t="n">
        <v>43930</v>
      </c>
      <c r="M58" s="70" t="n"/>
      <c r="N58" s="59" t="inlineStr">
        <is>
          <t>Unreliable (zero or out of band)</t>
        </is>
      </c>
      <c r="O58" s="64" t="n"/>
      <c r="P58" s="59" t="n"/>
      <c r="Q58" s="65" t="inlineStr">
        <is>
          <t>Proposed demolition of existing single family dwelling to be replaced by new 2 storey single family dwelling with finished basement and integrated garage.</t>
        </is>
      </c>
      <c r="R58" s="61" t="inlineStr">
        <is>
          <t>Map</t>
        </is>
      </c>
      <c r="S58" s="61" t="inlineStr">
        <is>
          <t>Raw data</t>
        </is>
      </c>
    </row>
    <row r="59" ht="29" customHeight="1">
      <c r="A59" s="59" t="inlineStr">
        <is>
          <t>32 Ardmore Rd</t>
        </is>
      </c>
      <c r="B59" s="60" t="n">
        <v>130</v>
      </c>
      <c r="C59" s="59" t="inlineStr">
        <is>
          <t>16 Ardmore Rd</t>
        </is>
      </c>
      <c r="D59" s="59" t="inlineStr">
        <is>
          <t>25 117324</t>
        </is>
      </c>
      <c r="E59" s="61" t="inlineStr">
        <is>
          <t>Check permit status</t>
        </is>
      </c>
      <c r="F59" s="59" t="inlineStr">
        <is>
          <t>Addition or alteration</t>
        </is>
      </c>
      <c r="G59" s="59" t="inlineStr">
        <is>
          <t>Small Residential Projects</t>
        </is>
      </c>
      <c r="H59" s="59" t="inlineStr">
        <is>
          <t>SFD - Detached</t>
        </is>
      </c>
      <c r="I59" s="59" t="inlineStr">
        <is>
          <t>with a revision issued</t>
        </is>
      </c>
      <c r="J59" s="63" t="n">
        <v>45820</v>
      </c>
      <c r="K59" s="63" t="n">
        <v>45884</v>
      </c>
      <c r="L59" s="63" t="n"/>
      <c r="M59" s="70" t="n">
        <v>10000</v>
      </c>
      <c r="N59" s="59" t="n"/>
      <c r="O59" s="64" t="n"/>
      <c r="P59" s="59" t="n"/>
      <c r="Q59" s="65" t="inlineStr">
        <is>
          <t>REV 01: Addition balcony at the rear of house and remodeling entrance porch.</t>
        </is>
      </c>
      <c r="R59" s="61" t="inlineStr">
        <is>
          <t>Map</t>
        </is>
      </c>
      <c r="S59" s="61" t="inlineStr">
        <is>
          <t>Raw data</t>
        </is>
      </c>
    </row>
    <row r="60" ht="42" customHeight="1">
      <c r="A60" s="59" t="inlineStr">
        <is>
          <t>32 Ardmore Rd</t>
        </is>
      </c>
      <c r="B60" s="60" t="n">
        <v>131</v>
      </c>
      <c r="C60" s="59" t="inlineStr">
        <is>
          <t>201 Rosemary Rd</t>
        </is>
      </c>
      <c r="D60" s="59" t="inlineStr">
        <is>
          <t>20 188403</t>
        </is>
      </c>
      <c r="E60" s="61" t="inlineStr">
        <is>
          <t>Building records request</t>
        </is>
      </c>
      <c r="F60" s="59" t="inlineStr">
        <is>
          <t>New building</t>
        </is>
      </c>
      <c r="G60" s="59" t="inlineStr">
        <is>
          <t>Mechanical(MS); Plumbing(PS); New Houses; Drain and Site Service</t>
        </is>
      </c>
      <c r="H60" s="59" t="inlineStr">
        <is>
          <t>SFD - Detached</t>
        </is>
      </c>
      <c r="I60" s="59" t="inlineStr">
        <is>
          <t>closed</t>
        </is>
      </c>
      <c r="J60" s="63" t="n">
        <v>44210</v>
      </c>
      <c r="K60" s="63" t="n">
        <v>44216</v>
      </c>
      <c r="L60" s="63" t="n">
        <v>45548</v>
      </c>
      <c r="M60" s="70" t="n">
        <v>1100000</v>
      </c>
      <c r="N60" s="59" t="n"/>
      <c r="O60" s="64" t="n">
        <v>1</v>
      </c>
      <c r="P60" s="59" t="n"/>
      <c r="Q60" s="65" t="inlineStr">
        <is>
          <t>REVISION - revised layout and walkoutProposal to construct a new 3 storey single family dwelling with finished basement and 2 level integral garage.</t>
        </is>
      </c>
      <c r="R60" s="61" t="inlineStr">
        <is>
          <t>Map</t>
        </is>
      </c>
      <c r="S60" s="61" t="inlineStr">
        <is>
          <t>Raw data</t>
        </is>
      </c>
    </row>
    <row r="61" ht="16" customHeight="1">
      <c r="A61" s="59" t="inlineStr">
        <is>
          <t>32 Ardmore Rd</t>
        </is>
      </c>
      <c r="B61" s="60" t="n">
        <v>131</v>
      </c>
      <c r="C61" s="59" t="inlineStr">
        <is>
          <t>201 Rosemary Rd</t>
        </is>
      </c>
      <c r="D61" s="59" t="inlineStr">
        <is>
          <t>20 188409</t>
        </is>
      </c>
      <c r="E61" s="61" t="inlineStr">
        <is>
          <t>Building records request</t>
        </is>
      </c>
      <c r="F61" s="59" t="inlineStr">
        <is>
          <t>Demolition</t>
        </is>
      </c>
      <c r="G61" s="59" t="inlineStr">
        <is>
          <t>Demolition Folder (DM)</t>
        </is>
      </c>
      <c r="H61" s="59" t="inlineStr">
        <is>
          <t>SFD - Detached</t>
        </is>
      </c>
      <c r="I61" s="59" t="inlineStr">
        <is>
          <t>closed</t>
        </is>
      </c>
      <c r="J61" s="63" t="n">
        <v>44075</v>
      </c>
      <c r="K61" s="63" t="n">
        <v>44183</v>
      </c>
      <c r="L61" s="63" t="n">
        <v>45511</v>
      </c>
      <c r="M61" s="70" t="n"/>
      <c r="N61" s="59" t="inlineStr">
        <is>
          <t>Unreliable (zero or out of band)</t>
        </is>
      </c>
      <c r="O61" s="64" t="n"/>
      <c r="P61" s="59" t="n"/>
      <c r="Q61" s="65" t="inlineStr">
        <is>
          <t>Proposal to demolish the existing 2 storey dwelling and construct new.</t>
        </is>
      </c>
      <c r="R61" s="61" t="inlineStr">
        <is>
          <t>Map</t>
        </is>
      </c>
      <c r="S61" s="61" t="inlineStr">
        <is>
          <t>Raw data</t>
        </is>
      </c>
    </row>
    <row r="62" ht="29" customHeight="1">
      <c r="A62" s="59" t="inlineStr">
        <is>
          <t>32 Ardmore Rd</t>
        </is>
      </c>
      <c r="B62" s="60" t="n">
        <v>133</v>
      </c>
      <c r="C62" s="59" t="inlineStr">
        <is>
          <t>25 Elderwood Dr</t>
        </is>
      </c>
      <c r="D62" s="59" t="inlineStr">
        <is>
          <t>03 167331</t>
        </is>
      </c>
      <c r="E62" s="61" t="inlineStr">
        <is>
          <t>Building records request</t>
        </is>
      </c>
      <c r="F62" s="59" t="inlineStr">
        <is>
          <t>Addition or alteration</t>
        </is>
      </c>
      <c r="G62" s="59" t="inlineStr">
        <is>
          <t>Small Residential Projects</t>
        </is>
      </c>
      <c r="H62" s="59" t="inlineStr">
        <is>
          <t>SFD - Detached</t>
        </is>
      </c>
      <c r="I62" s="59" t="inlineStr">
        <is>
          <t>under inspection</t>
        </is>
      </c>
      <c r="J62" s="63" t="n">
        <v>37852</v>
      </c>
      <c r="K62" s="63" t="n">
        <v>38019</v>
      </c>
      <c r="L62" s="63" t="n"/>
      <c r="M62" s="70" t="n">
        <v>90000</v>
      </c>
      <c r="N62" s="59" t="n"/>
      <c r="O62" s="64" t="n"/>
      <c r="P62" s="59" t="n"/>
      <c r="Q62" s="65" t="inlineStr">
        <is>
          <t>Construct a 1-storey rear addition with new deck. See C of A decision. Existing and proposed: detached house.</t>
        </is>
      </c>
      <c r="R62" s="61" t="inlineStr">
        <is>
          <t>Map</t>
        </is>
      </c>
      <c r="S62" s="61" t="inlineStr">
        <is>
          <t>Raw data</t>
        </is>
      </c>
    </row>
    <row r="63" ht="16" customHeight="1">
      <c r="A63" s="59" t="inlineStr">
        <is>
          <t>32 Ardmore Rd</t>
        </is>
      </c>
      <c r="B63" s="60" t="n">
        <v>133</v>
      </c>
      <c r="C63" s="59" t="inlineStr">
        <is>
          <t>107 Vesta Dr</t>
        </is>
      </c>
      <c r="D63" s="59" t="inlineStr">
        <is>
          <t>18 129828</t>
        </is>
      </c>
      <c r="E63" s="61" t="inlineStr">
        <is>
          <t>Building records request</t>
        </is>
      </c>
      <c r="F63" s="59" t="inlineStr">
        <is>
          <t>Addition or alteration</t>
        </is>
      </c>
      <c r="G63" s="59" t="inlineStr">
        <is>
          <t>Small Residential Projects</t>
        </is>
      </c>
      <c r="H63" s="59" t="inlineStr">
        <is>
          <t>SFD - Detached</t>
        </is>
      </c>
      <c r="I63" s="59" t="inlineStr">
        <is>
          <t>closed</t>
        </is>
      </c>
      <c r="J63" s="63" t="n">
        <v>43174</v>
      </c>
      <c r="K63" s="63" t="n">
        <v>44313</v>
      </c>
      <c r="L63" s="63" t="n">
        <v>45820</v>
      </c>
      <c r="M63" s="70" t="n">
        <v>115000</v>
      </c>
      <c r="N63" s="59" t="n"/>
      <c r="O63" s="64" t="n"/>
      <c r="P63" s="59" t="n"/>
      <c r="Q63" s="65" t="inlineStr">
        <is>
          <t>Proposal to construct a deck in the rear (lower and upper decks)</t>
        </is>
      </c>
      <c r="R63" s="61" t="inlineStr">
        <is>
          <t>Map</t>
        </is>
      </c>
      <c r="S63" s="61" t="inlineStr">
        <is>
          <t>Raw data</t>
        </is>
      </c>
    </row>
    <row r="64" ht="16" customHeight="1">
      <c r="A64" s="59" t="inlineStr">
        <is>
          <t>32 Ardmore Rd</t>
        </is>
      </c>
      <c r="B64" s="60" t="n">
        <v>134</v>
      </c>
      <c r="C64" s="59" t="inlineStr">
        <is>
          <t>51 Hawarden Cres</t>
        </is>
      </c>
      <c r="D64" s="59" t="inlineStr">
        <is>
          <t>21 240904</t>
        </is>
      </c>
      <c r="E64" s="61" t="inlineStr">
        <is>
          <t>Building records request</t>
        </is>
      </c>
      <c r="F64" s="59" t="inlineStr">
        <is>
          <t>Addition or alteration</t>
        </is>
      </c>
      <c r="G64" s="59" t="inlineStr">
        <is>
          <t>Small Residential Projects</t>
        </is>
      </c>
      <c r="H64" s="59" t="inlineStr">
        <is>
          <t>SFD - Detached</t>
        </is>
      </c>
      <c r="I64" s="59" t="inlineStr">
        <is>
          <t>closed</t>
        </is>
      </c>
      <c r="J64" s="63" t="n">
        <v>44523</v>
      </c>
      <c r="K64" s="63" t="n">
        <v>44531</v>
      </c>
      <c r="L64" s="63" t="n">
        <v>45838</v>
      </c>
      <c r="M64" s="70" t="n">
        <v>4000</v>
      </c>
      <c r="N64" s="59" t="n"/>
      <c r="O64" s="64" t="n"/>
      <c r="P64" s="59" t="n"/>
      <c r="Q64" s="65" t="inlineStr">
        <is>
          <t>Proposal for exterior portico entry renovation.</t>
        </is>
      </c>
      <c r="R64" s="61" t="inlineStr">
        <is>
          <t>Map</t>
        </is>
      </c>
      <c r="S64" s="61" t="inlineStr">
        <is>
          <t>Raw data</t>
        </is>
      </c>
    </row>
    <row r="65" ht="16" customHeight="1">
      <c r="A65" s="59" t="inlineStr">
        <is>
          <t>32 Ardmore Rd</t>
        </is>
      </c>
      <c r="B65" s="60" t="n">
        <v>136</v>
      </c>
      <c r="C65" s="59" t="inlineStr">
        <is>
          <t>207 Rosemary Rd</t>
        </is>
      </c>
      <c r="D65" s="59" t="inlineStr">
        <is>
          <t>22 168664</t>
        </is>
      </c>
      <c r="E65" s="61" t="inlineStr">
        <is>
          <t>Building records request</t>
        </is>
      </c>
      <c r="F65" s="59" t="inlineStr">
        <is>
          <t>Demolition</t>
        </is>
      </c>
      <c r="G65" s="59" t="inlineStr">
        <is>
          <t>Demolition Folder (DM)</t>
        </is>
      </c>
      <c r="H65" s="59" t="inlineStr">
        <is>
          <t>SFD - Detached</t>
        </is>
      </c>
      <c r="I65" s="59" t="inlineStr">
        <is>
          <t>closed</t>
        </is>
      </c>
      <c r="J65" s="63" t="n">
        <v>44740</v>
      </c>
      <c r="K65" s="63" t="n">
        <v>44817</v>
      </c>
      <c r="L65" s="63" t="n">
        <v>46059</v>
      </c>
      <c r="M65" s="70" t="n"/>
      <c r="N65" s="59" t="inlineStr">
        <is>
          <t>Unreliable (zero or out of band)</t>
        </is>
      </c>
      <c r="O65" s="64" t="n"/>
      <c r="P65" s="59" t="n"/>
      <c r="Q65" s="65" t="inlineStr">
        <is>
          <t>Proposal to demolish the existing 2 storey SFD-detached dwelling,</t>
        </is>
      </c>
      <c r="R65" s="61" t="inlineStr">
        <is>
          <t>Map</t>
        </is>
      </c>
      <c r="S65" s="61" t="inlineStr">
        <is>
          <t>Raw data</t>
        </is>
      </c>
    </row>
    <row r="66" ht="55" customHeight="1">
      <c r="A66" s="59" t="inlineStr">
        <is>
          <t>32 Ardmore Rd</t>
        </is>
      </c>
      <c r="B66" s="60" t="n">
        <v>136</v>
      </c>
      <c r="C66" s="59" t="inlineStr">
        <is>
          <t>207 Rosemary Rd</t>
        </is>
      </c>
      <c r="D66" s="59" t="inlineStr">
        <is>
          <t>22 168675</t>
        </is>
      </c>
      <c r="E66" s="61" t="inlineStr">
        <is>
          <t>Building records request</t>
        </is>
      </c>
      <c r="F66" s="59" t="inlineStr">
        <is>
          <t>New building</t>
        </is>
      </c>
      <c r="G66" s="59" t="inlineStr">
        <is>
          <t>Mechanical(MS); Plumbing(PS); New Houses; Drain and Site Service</t>
        </is>
      </c>
      <c r="H66" s="59" t="inlineStr">
        <is>
          <t>SFD - Detached</t>
        </is>
      </c>
      <c r="I66" s="59" t="inlineStr">
        <is>
          <t>closed</t>
        </is>
      </c>
      <c r="J66" s="63" t="n">
        <v>45279</v>
      </c>
      <c r="K66" s="63" t="n">
        <v>45289</v>
      </c>
      <c r="L66" s="63" t="n">
        <v>45919</v>
      </c>
      <c r="M66" s="70" t="n">
        <v>1000000</v>
      </c>
      <c r="N66" s="59" t="n"/>
      <c r="O66" s="64" t="n">
        <v>1</v>
      </c>
      <c r="P66" s="59" t="n"/>
      <c r="Q66" s="65" t="inlineStr">
        <is>
          <t>Revision 01 - basement dept reduced, removed basement walk-out, interior modications and reconfigure of windows.Proposal to construct a new 3 storey SFD-detached dwelling with an integral garage and a finished basement. See also 22 168664 DEM, 21 203704 ZZC and 21 215895 MV.</t>
        </is>
      </c>
      <c r="R66" s="61" t="inlineStr">
        <is>
          <t>Map</t>
        </is>
      </c>
      <c r="S66" s="61" t="inlineStr">
        <is>
          <t>Raw data</t>
        </is>
      </c>
    </row>
    <row r="67" ht="29" customHeight="1">
      <c r="A67" s="59" t="inlineStr">
        <is>
          <t>32 Ardmore Rd</t>
        </is>
      </c>
      <c r="B67" s="60" t="n">
        <v>138</v>
      </c>
      <c r="C67" s="59" t="inlineStr">
        <is>
          <t>112 Glenayr Rd</t>
        </is>
      </c>
      <c r="D67" s="59" t="inlineStr">
        <is>
          <t>12 139497</t>
        </is>
      </c>
      <c r="E67" s="61" t="inlineStr">
        <is>
          <t>Building records request</t>
        </is>
      </c>
      <c r="F67" s="59" t="inlineStr">
        <is>
          <t>Addition or alteration</t>
        </is>
      </c>
      <c r="G67" s="59" t="inlineStr">
        <is>
          <t>Small Residential Projects</t>
        </is>
      </c>
      <c r="H67" s="59" t="inlineStr">
        <is>
          <t>SFD - Detached</t>
        </is>
      </c>
      <c r="I67" s="59" t="inlineStr">
        <is>
          <t>closed</t>
        </is>
      </c>
      <c r="J67" s="63" t="n">
        <v>40988</v>
      </c>
      <c r="K67" s="63" t="n">
        <v>40991</v>
      </c>
      <c r="L67" s="63" t="n">
        <v>43900</v>
      </c>
      <c r="M67" s="70" t="n">
        <v>2000</v>
      </c>
      <c r="N67" s="59" t="n"/>
      <c r="O67" s="64" t="n"/>
      <c r="P67" s="59" t="n"/>
      <c r="Q67" s="65" t="inlineStr">
        <is>
          <t>Administrative permit to authorize construction of jointly owned retaining wall structure in conjunction with 12 121099 BLD, 110 Glenayr Rd.</t>
        </is>
      </c>
      <c r="R67" s="61" t="inlineStr">
        <is>
          <t>Map</t>
        </is>
      </c>
      <c r="S67" s="61" t="inlineStr">
        <is>
          <t>Raw data</t>
        </is>
      </c>
    </row>
    <row r="68" ht="16" customHeight="1">
      <c r="A68" s="59" t="inlineStr">
        <is>
          <t>32 Ardmore Rd</t>
        </is>
      </c>
      <c r="B68" s="60" t="n">
        <v>142</v>
      </c>
      <c r="C68" s="59" t="inlineStr">
        <is>
          <t>49 Hawarden Cres</t>
        </is>
      </c>
      <c r="D68" s="59" t="inlineStr">
        <is>
          <t>20 106640</t>
        </is>
      </c>
      <c r="E68" s="61" t="inlineStr">
        <is>
          <t>Building records request</t>
        </is>
      </c>
      <c r="F68" s="59" t="inlineStr">
        <is>
          <t>Other</t>
        </is>
      </c>
      <c r="G68" s="59" t="inlineStr">
        <is>
          <t>Drain and Site Service</t>
        </is>
      </c>
      <c r="H68" s="59" t="inlineStr">
        <is>
          <t>SFD - Detached</t>
        </is>
      </c>
      <c r="I68" s="59" t="inlineStr">
        <is>
          <t>closed</t>
        </is>
      </c>
      <c r="J68" s="63" t="n">
        <v>43850</v>
      </c>
      <c r="K68" s="63" t="n">
        <v>43850</v>
      </c>
      <c r="L68" s="63" t="n">
        <v>43857</v>
      </c>
      <c r="M68" s="70" t="n"/>
      <c r="N68" s="59" t="inlineStr">
        <is>
          <t>Not declared</t>
        </is>
      </c>
      <c r="O68" s="64" t="n"/>
      <c r="P68" s="59" t="n"/>
      <c r="Q68" s="65" t="inlineStr">
        <is>
          <t>Back Water Valve (Sewer only)</t>
        </is>
      </c>
      <c r="R68" s="61" t="inlineStr">
        <is>
          <t>Map</t>
        </is>
      </c>
      <c r="S68" s="61" t="inlineStr">
        <is>
          <t>Raw data</t>
        </is>
      </c>
    </row>
    <row r="69" ht="16" customHeight="1">
      <c r="A69" s="59" t="inlineStr">
        <is>
          <t>32 Ardmore Rd</t>
        </is>
      </c>
      <c r="B69" s="60" t="n">
        <v>142</v>
      </c>
      <c r="C69" s="59" t="inlineStr">
        <is>
          <t>49 Hawarden Cres</t>
        </is>
      </c>
      <c r="D69" s="59" t="inlineStr">
        <is>
          <t>22 157489</t>
        </is>
      </c>
      <c r="E69" s="61" t="inlineStr">
        <is>
          <t>Building records request</t>
        </is>
      </c>
      <c r="F69" s="59" t="inlineStr">
        <is>
          <t>Other</t>
        </is>
      </c>
      <c r="G69" s="59" t="inlineStr">
        <is>
          <t>Drain and Site Service</t>
        </is>
      </c>
      <c r="H69" s="59" t="inlineStr">
        <is>
          <t>SFD - Detached</t>
        </is>
      </c>
      <c r="I69" s="59" t="inlineStr">
        <is>
          <t>closed</t>
        </is>
      </c>
      <c r="J69" s="63" t="n">
        <v>44718</v>
      </c>
      <c r="K69" s="63" t="n">
        <v>44721</v>
      </c>
      <c r="L69" s="63" t="n">
        <v>44722</v>
      </c>
      <c r="M69" s="70" t="n"/>
      <c r="N69" s="59" t="inlineStr">
        <is>
          <t>Not declared</t>
        </is>
      </c>
      <c r="O69" s="64" t="n"/>
      <c r="P69" s="59" t="n"/>
      <c r="Q69" s="65" t="inlineStr">
        <is>
          <t>bwv installation</t>
        </is>
      </c>
      <c r="R69" s="61" t="inlineStr">
        <is>
          <t>Map</t>
        </is>
      </c>
      <c r="S69" s="61" t="inlineStr">
        <is>
          <t>Raw data</t>
        </is>
      </c>
    </row>
    <row r="70" ht="42" customHeight="1">
      <c r="A70" s="59" t="inlineStr">
        <is>
          <t>32 Ardmore Rd</t>
        </is>
      </c>
      <c r="B70" s="60" t="n">
        <v>145</v>
      </c>
      <c r="C70" s="59" t="inlineStr">
        <is>
          <t>16 Silverwood Ave</t>
        </is>
      </c>
      <c r="D70" s="59" t="inlineStr">
        <is>
          <t>24 237001</t>
        </is>
      </c>
      <c r="E70" s="61" t="inlineStr">
        <is>
          <t>Check permit status</t>
        </is>
      </c>
      <c r="F70" s="59" t="inlineStr">
        <is>
          <t>New building</t>
        </is>
      </c>
      <c r="G70" s="59" t="inlineStr">
        <is>
          <t>New Houses; Plumbing(PS); Mechanical(MS); Drain and Site Service</t>
        </is>
      </c>
      <c r="H70" s="59" t="inlineStr">
        <is>
          <t>SFD - Detached</t>
        </is>
      </c>
      <c r="I70" s="59" t="inlineStr">
        <is>
          <t>under inspection</t>
        </is>
      </c>
      <c r="J70" s="63" t="n">
        <v>45604</v>
      </c>
      <c r="K70" s="63" t="n">
        <v>45630</v>
      </c>
      <c r="L70" s="63" t="n">
        <v>46258</v>
      </c>
      <c r="M70" s="70" t="n">
        <v>1500000</v>
      </c>
      <c r="N70" s="59" t="n"/>
      <c r="O70" s="64" t="n">
        <v>1</v>
      </c>
      <c r="P70" s="59" t="n"/>
      <c r="Q70" s="65" t="inlineStr">
        <is>
          <t>Plumbing - Proposal to construct a new three-storey detached dwelling with an integral garage, a rear ground floor deck with stairs, and a front driveway.</t>
        </is>
      </c>
      <c r="R70" s="61" t="inlineStr">
        <is>
          <t>Map</t>
        </is>
      </c>
      <c r="S70" s="61" t="inlineStr">
        <is>
          <t>Raw data</t>
        </is>
      </c>
    </row>
    <row r="71" ht="16" customHeight="1">
      <c r="A71" s="59" t="inlineStr">
        <is>
          <t>32 Ardmore Rd</t>
        </is>
      </c>
      <c r="B71" s="60" t="n">
        <v>145</v>
      </c>
      <c r="C71" s="59" t="inlineStr">
        <is>
          <t>16 Silverwood Ave</t>
        </is>
      </c>
      <c r="D71" s="59" t="inlineStr">
        <is>
          <t>24 237021</t>
        </is>
      </c>
      <c r="E71" s="61" t="inlineStr">
        <is>
          <t>Building records request</t>
        </is>
      </c>
      <c r="F71" s="59" t="inlineStr">
        <is>
          <t>Demolition</t>
        </is>
      </c>
      <c r="G71" s="59" t="inlineStr">
        <is>
          <t>Demolition Folder (DM)</t>
        </is>
      </c>
      <c r="H71" s="59" t="inlineStr">
        <is>
          <t>SFD - Detached</t>
        </is>
      </c>
      <c r="I71" s="59" t="inlineStr">
        <is>
          <t>closed</t>
        </is>
      </c>
      <c r="J71" s="63" t="n">
        <v>45604</v>
      </c>
      <c r="K71" s="63" t="n">
        <v>45630</v>
      </c>
      <c r="L71" s="63" t="n">
        <v>45772</v>
      </c>
      <c r="M71" s="70" t="n"/>
      <c r="N71" s="59" t="inlineStr">
        <is>
          <t>Unreliable (zero or out of band)</t>
        </is>
      </c>
      <c r="O71" s="64" t="n"/>
      <c r="P71" s="59" t="n"/>
      <c r="Q71" s="65" t="inlineStr">
        <is>
          <t>Proposal to demolish the existing 1.5 storey sfd house</t>
        </is>
      </c>
      <c r="R71" s="61" t="inlineStr">
        <is>
          <t>Map</t>
        </is>
      </c>
      <c r="S71" s="61" t="inlineStr">
        <is>
          <t>Raw data</t>
        </is>
      </c>
    </row>
    <row r="72" ht="16" customHeight="1">
      <c r="A72" s="59" t="inlineStr">
        <is>
          <t>32 Ardmore Rd</t>
        </is>
      </c>
      <c r="B72" s="60" t="n">
        <v>145</v>
      </c>
      <c r="C72" s="59" t="inlineStr">
        <is>
          <t>211 Rosemary Rd</t>
        </is>
      </c>
      <c r="D72" s="59" t="inlineStr">
        <is>
          <t>25 252872</t>
        </is>
      </c>
      <c r="E72" s="61" t="inlineStr">
        <is>
          <t>Check permit status</t>
        </is>
      </c>
      <c r="F72" s="59" t="inlineStr">
        <is>
          <t>Other</t>
        </is>
      </c>
      <c r="G72" s="59" t="inlineStr">
        <is>
          <t>Drain and Site Service</t>
        </is>
      </c>
      <c r="H72" s="59" t="inlineStr">
        <is>
          <t>SFD - Detached</t>
        </is>
      </c>
      <c r="I72" s="59" t="inlineStr">
        <is>
          <t>under inspection</t>
        </is>
      </c>
      <c r="J72" s="63" t="n">
        <v>45973</v>
      </c>
      <c r="K72" s="63" t="n">
        <v>45974</v>
      </c>
      <c r="L72" s="63" t="n"/>
      <c r="M72" s="70" t="n"/>
      <c r="N72" s="59" t="inlineStr">
        <is>
          <t>Not declared</t>
        </is>
      </c>
      <c r="O72" s="64" t="n"/>
      <c r="P72" s="59" t="n"/>
      <c r="Q72" s="65" t="inlineStr">
        <is>
          <t>Proposed backwater valve install</t>
        </is>
      </c>
      <c r="R72" s="61" t="inlineStr">
        <is>
          <t>Map</t>
        </is>
      </c>
      <c r="S72" s="61" t="inlineStr">
        <is>
          <t>Raw data</t>
        </is>
      </c>
    </row>
    <row r="73" ht="16" customHeight="1">
      <c r="A73" s="59" t="inlineStr">
        <is>
          <t>32 Ardmore Rd</t>
        </is>
      </c>
      <c r="B73" s="60" t="n">
        <v>149</v>
      </c>
      <c r="C73" s="59" t="inlineStr">
        <is>
          <t>213 Rosemary Rd</t>
        </is>
      </c>
      <c r="D73" s="59" t="inlineStr">
        <is>
          <t>24 169275</t>
        </is>
      </c>
      <c r="E73" s="61" t="inlineStr">
        <is>
          <t>Check permit status</t>
        </is>
      </c>
      <c r="F73" s="59" t="inlineStr">
        <is>
          <t>New building</t>
        </is>
      </c>
      <c r="G73" s="59" t="inlineStr">
        <is>
          <t>New Houses; Plumbing(PS); Drain and Site Service; Mechanical(MS)</t>
        </is>
      </c>
      <c r="H73" s="59" t="inlineStr">
        <is>
          <t>SFD - Detached</t>
        </is>
      </c>
      <c r="I73" s="59" t="inlineStr">
        <is>
          <t>under inspection</t>
        </is>
      </c>
      <c r="J73" s="63" t="n">
        <v>45467</v>
      </c>
      <c r="K73" s="63" t="n">
        <v>45504</v>
      </c>
      <c r="L73" s="63" t="n"/>
      <c r="M73" s="70" t="n">
        <v>1000000</v>
      </c>
      <c r="N73" s="59" t="n"/>
      <c r="O73" s="64" t="n">
        <v>1</v>
      </c>
      <c r="P73" s="59" t="n"/>
      <c r="Q73" s="65" t="inlineStr">
        <is>
          <t>Revision - to the hvac systemHVAC - Proposal for a new detached SFD</t>
        </is>
      </c>
      <c r="R73" s="61" t="inlineStr">
        <is>
          <t>Map</t>
        </is>
      </c>
      <c r="S73" s="61" t="inlineStr">
        <is>
          <t>Raw data</t>
        </is>
      </c>
    </row>
    <row r="74" ht="16" customHeight="1">
      <c r="A74" s="59" t="inlineStr">
        <is>
          <t>32 Ardmore Rd</t>
        </is>
      </c>
      <c r="B74" s="60" t="n">
        <v>149</v>
      </c>
      <c r="C74" s="59" t="inlineStr">
        <is>
          <t>213 Rosemary Rd</t>
        </is>
      </c>
      <c r="D74" s="59" t="inlineStr">
        <is>
          <t>24 169300</t>
        </is>
      </c>
      <c r="E74" s="61" t="inlineStr">
        <is>
          <t>Building records request</t>
        </is>
      </c>
      <c r="F74" s="59" t="inlineStr">
        <is>
          <t>Demolition</t>
        </is>
      </c>
      <c r="G74" s="59" t="inlineStr">
        <is>
          <t>Demolition Folder (DM)</t>
        </is>
      </c>
      <c r="H74" s="59" t="inlineStr">
        <is>
          <t>SFD - Detached</t>
        </is>
      </c>
      <c r="I74" s="59" t="inlineStr">
        <is>
          <t>closed</t>
        </is>
      </c>
      <c r="J74" s="63" t="n">
        <v>45467</v>
      </c>
      <c r="K74" s="63" t="n">
        <v>45504</v>
      </c>
      <c r="L74" s="63" t="n">
        <v>46227</v>
      </c>
      <c r="M74" s="70" t="n"/>
      <c r="N74" s="59" t="inlineStr">
        <is>
          <t>Unreliable (zero or out of band)</t>
        </is>
      </c>
      <c r="O74" s="64" t="n"/>
      <c r="P74" s="59" t="n"/>
      <c r="Q74" s="65" t="inlineStr">
        <is>
          <t>Proposed demolition of the existing dwelling</t>
        </is>
      </c>
      <c r="R74" s="61" t="inlineStr">
        <is>
          <t>Map</t>
        </is>
      </c>
      <c r="S74" s="61" t="inlineStr">
        <is>
          <t>Raw data</t>
        </is>
      </c>
    </row>
    <row r="75" ht="29" customHeight="1">
      <c r="A75" s="59" t="inlineStr">
        <is>
          <t>32 Ardmore Rd</t>
        </is>
      </c>
      <c r="B75" s="60" t="n">
        <v>151</v>
      </c>
      <c r="C75" s="59" t="inlineStr">
        <is>
          <t>197 Rosemary Rd</t>
        </is>
      </c>
      <c r="D75" s="59" t="inlineStr">
        <is>
          <t>07 116443</t>
        </is>
      </c>
      <c r="E75" s="61" t="inlineStr">
        <is>
          <t>Building records request</t>
        </is>
      </c>
      <c r="F75" s="59" t="inlineStr">
        <is>
          <t>New building</t>
        </is>
      </c>
      <c r="G75" s="59" t="inlineStr">
        <is>
          <t>Mechanical(MS); New Houses; Plumbing(PS); Drain and Site Service</t>
        </is>
      </c>
      <c r="H75" s="59" t="inlineStr">
        <is>
          <t>SFD - Detached</t>
        </is>
      </c>
      <c r="I75" s="59" t="inlineStr">
        <is>
          <t>under inspection</t>
        </is>
      </c>
      <c r="J75" s="63" t="n">
        <v>39343</v>
      </c>
      <c r="K75" s="63" t="n">
        <v>39352</v>
      </c>
      <c r="L75" s="63" t="n">
        <v>44370</v>
      </c>
      <c r="M75" s="70" t="n">
        <v>750000</v>
      </c>
      <c r="N75" s="59" t="n"/>
      <c r="O75" s="64" t="n">
        <v>1</v>
      </c>
      <c r="P75" s="59" t="n"/>
      <c r="Q75" s="65" t="inlineStr">
        <is>
          <t>Plumbing - Proposal to construct 2 storey SFD Detatched. See Demo Permit 07116438. See OMB file PL 060210.</t>
        </is>
      </c>
      <c r="R75" s="61" t="inlineStr">
        <is>
          <t>Map</t>
        </is>
      </c>
      <c r="S75" s="61" t="inlineStr">
        <is>
          <t>Raw data</t>
        </is>
      </c>
    </row>
    <row r="76" ht="16" customHeight="1">
      <c r="A76" s="59" t="inlineStr">
        <is>
          <t>32 Ardmore Rd</t>
        </is>
      </c>
      <c r="B76" s="60" t="n">
        <v>153</v>
      </c>
      <c r="C76" s="59" t="inlineStr">
        <is>
          <t>21 Elderwood Dr</t>
        </is>
      </c>
      <c r="D76" s="59" t="inlineStr">
        <is>
          <t>13 214505</t>
        </is>
      </c>
      <c r="E76" s="61" t="inlineStr">
        <is>
          <t>Building records request</t>
        </is>
      </c>
      <c r="F76" s="59" t="inlineStr">
        <is>
          <t>Other</t>
        </is>
      </c>
      <c r="G76" s="59" t="inlineStr">
        <is>
          <t>Drain and Site Service</t>
        </is>
      </c>
      <c r="H76" s="59" t="inlineStr">
        <is>
          <t>SFD - Detached</t>
        </is>
      </c>
      <c r="I76" s="59" t="inlineStr">
        <is>
          <t>cancelled</t>
        </is>
      </c>
      <c r="J76" s="63" t="n">
        <v>41487</v>
      </c>
      <c r="K76" s="63" t="n">
        <v>41488</v>
      </c>
      <c r="L76" s="63" t="n">
        <v>42893</v>
      </c>
      <c r="M76" s="70" t="n">
        <v>2500</v>
      </c>
      <c r="N76" s="59" t="n"/>
      <c r="O76" s="64" t="n"/>
      <c r="P76" s="59" t="n"/>
      <c r="Q76" s="65" t="inlineStr">
        <is>
          <t>Install one MAINLINE Backwater valve inside.</t>
        </is>
      </c>
      <c r="R76" s="61" t="inlineStr">
        <is>
          <t>Map</t>
        </is>
      </c>
      <c r="S76" s="61" t="inlineStr">
        <is>
          <t>Raw data</t>
        </is>
      </c>
    </row>
    <row r="77" ht="29" customHeight="1">
      <c r="A77" s="59" t="inlineStr">
        <is>
          <t>32 Ardmore Rd</t>
        </is>
      </c>
      <c r="B77" s="60" t="n">
        <v>153</v>
      </c>
      <c r="C77" s="59" t="inlineStr">
        <is>
          <t>21 Elderwood Dr</t>
        </is>
      </c>
      <c r="D77" s="59" t="inlineStr">
        <is>
          <t>24 190054</t>
        </is>
      </c>
      <c r="E77" s="61" t="inlineStr">
        <is>
          <t>Check permit status</t>
        </is>
      </c>
      <c r="F77" s="59" t="inlineStr">
        <is>
          <t>New building</t>
        </is>
      </c>
      <c r="G77" s="59" t="inlineStr">
        <is>
          <t>New Houses; Mechanical(MS); Drain and Site Service; Plumbing(PS)</t>
        </is>
      </c>
      <c r="H77" s="59" t="inlineStr">
        <is>
          <t>SFD - Detached</t>
        </is>
      </c>
      <c r="I77" s="59" t="inlineStr">
        <is>
          <t>under inspection</t>
        </is>
      </c>
      <c r="J77" s="63" t="n">
        <v>45503</v>
      </c>
      <c r="K77" s="63" t="n">
        <v>45562</v>
      </c>
      <c r="L77" s="63" t="n"/>
      <c r="M77" s="70" t="n">
        <v>1500000</v>
      </c>
      <c r="N77" s="59" t="n"/>
      <c r="O77" s="64" t="n">
        <v>1</v>
      </c>
      <c r="P77" s="59" t="n"/>
      <c r="Q77" s="65" t="inlineStr">
        <is>
          <t>Plumbing - Proposal for 3 storey SFD with integral garage and rear covered deck</t>
        </is>
      </c>
      <c r="R77" s="61" t="inlineStr">
        <is>
          <t>Map</t>
        </is>
      </c>
      <c r="S77" s="61" t="inlineStr">
        <is>
          <t>Raw data</t>
        </is>
      </c>
    </row>
    <row r="78" ht="16" customHeight="1">
      <c r="A78" s="59" t="inlineStr">
        <is>
          <t>32 Ardmore Rd</t>
        </is>
      </c>
      <c r="B78" s="60" t="n">
        <v>153</v>
      </c>
      <c r="C78" s="59" t="inlineStr">
        <is>
          <t>21 Elderwood Dr</t>
        </is>
      </c>
      <c r="D78" s="59" t="inlineStr">
        <is>
          <t>24 190139</t>
        </is>
      </c>
      <c r="E78" s="61" t="inlineStr">
        <is>
          <t>Building records request</t>
        </is>
      </c>
      <c r="F78" s="59" t="inlineStr">
        <is>
          <t>Demolition</t>
        </is>
      </c>
      <c r="G78" s="59" t="inlineStr">
        <is>
          <t>Demolition Folder (DM)</t>
        </is>
      </c>
      <c r="H78" s="59" t="inlineStr">
        <is>
          <t>SFD - Detached</t>
        </is>
      </c>
      <c r="I78" s="59" t="inlineStr">
        <is>
          <t>closed</t>
        </is>
      </c>
      <c r="J78" s="63" t="n">
        <v>45503</v>
      </c>
      <c r="K78" s="63" t="n">
        <v>45566</v>
      </c>
      <c r="L78" s="63" t="n">
        <v>45938</v>
      </c>
      <c r="M78" s="70" t="n"/>
      <c r="N78" s="59" t="inlineStr">
        <is>
          <t>Unreliable (zero or out of band)</t>
        </is>
      </c>
      <c r="O78" s="64" t="n"/>
      <c r="P78" s="59" t="n"/>
      <c r="Q78" s="65" t="inlineStr">
        <is>
          <t>Proposal for demolishing existing SFD and built a new 3 storey SFD</t>
        </is>
      </c>
      <c r="R78" s="61" t="inlineStr">
        <is>
          <t>Map</t>
        </is>
      </c>
      <c r="S78" s="61" t="inlineStr">
        <is>
          <t>Raw data</t>
        </is>
      </c>
    </row>
    <row r="79" ht="55" customHeight="1">
      <c r="A79" s="59" t="inlineStr">
        <is>
          <t>32 Ardmore Rd</t>
        </is>
      </c>
      <c r="B79" s="60" t="n">
        <v>154</v>
      </c>
      <c r="C79" s="59" t="inlineStr">
        <is>
          <t>110 Glenayr Rd</t>
        </is>
      </c>
      <c r="D79" s="59" t="inlineStr">
        <is>
          <t>12 121099</t>
        </is>
      </c>
      <c r="E79" s="61" t="inlineStr">
        <is>
          <t>Building records request</t>
        </is>
      </c>
      <c r="F79" s="59" t="inlineStr">
        <is>
          <t>Addition or alteration</t>
        </is>
      </c>
      <c r="G79" s="59" t="inlineStr">
        <is>
          <t>Mechanical(MS); Plumbing(PS); Small Residential Projects</t>
        </is>
      </c>
      <c r="H79" s="59" t="inlineStr">
        <is>
          <t>SFD - Detached</t>
        </is>
      </c>
      <c r="I79" s="59" t="inlineStr">
        <is>
          <t>closed</t>
        </is>
      </c>
      <c r="J79" s="63" t="n">
        <v>40949</v>
      </c>
      <c r="K79" s="63" t="n">
        <v>40995</v>
      </c>
      <c r="L79" s="63" t="n">
        <v>45874</v>
      </c>
      <c r="M79" s="70" t="n">
        <v>350000</v>
      </c>
      <c r="N79" s="59" t="n"/>
      <c r="O79" s="64" t="n"/>
      <c r="P79" s="59" t="inlineStr">
        <is>
          <t>A0421/11TEY</t>
        </is>
      </c>
      <c r="Q79" s="65" t="inlineStr">
        <is>
          <t>Plumbing - Proposal to construct rear two-storey addition with two-car garage at grade, interior alterations, and ground floor patio at rear of existing single family detached dwelling. See also 11 141467 ZZC, 11 197896 MV and Final and Binding A0421/11TEY.</t>
        </is>
      </c>
      <c r="R79" s="61" t="inlineStr">
        <is>
          <t>Map</t>
        </is>
      </c>
      <c r="S79" s="61" t="inlineStr">
        <is>
          <t>Raw data</t>
        </is>
      </c>
    </row>
    <row r="80" ht="16" customHeight="1">
      <c r="A80" s="59" t="inlineStr">
        <is>
          <t>32 Ardmore Rd</t>
        </is>
      </c>
      <c r="B80" s="60" t="n">
        <v>156</v>
      </c>
      <c r="C80" s="59" t="inlineStr">
        <is>
          <t>47 Hawarden Cres</t>
        </is>
      </c>
      <c r="D80" s="59" t="inlineStr">
        <is>
          <t>05 108775</t>
        </is>
      </c>
      <c r="E80" s="61" t="inlineStr">
        <is>
          <t>Building records request</t>
        </is>
      </c>
      <c r="F80" s="59" t="inlineStr">
        <is>
          <t>New building</t>
        </is>
      </c>
      <c r="G80" s="59" t="inlineStr">
        <is>
          <t>New Houses; Mechanical(MS); Plumbing(PS)</t>
        </is>
      </c>
      <c r="H80" s="59" t="inlineStr">
        <is>
          <t>SFD - Detached</t>
        </is>
      </c>
      <c r="I80" s="59" t="inlineStr">
        <is>
          <t>under inspection</t>
        </is>
      </c>
      <c r="J80" s="63" t="n">
        <v>38397</v>
      </c>
      <c r="K80" s="63" t="n">
        <v>38455</v>
      </c>
      <c r="L80" s="63" t="n">
        <v>44351</v>
      </c>
      <c r="M80" s="70" t="n">
        <v>614000</v>
      </c>
      <c r="N80" s="59" t="n"/>
      <c r="O80" s="64" t="n">
        <v>1</v>
      </c>
      <c r="P80" s="59" t="n"/>
      <c r="Q80" s="65" t="inlineStr">
        <is>
          <t>Plumbing - Construct a new 3 storey house - New Building</t>
        </is>
      </c>
      <c r="R80" s="61" t="inlineStr">
        <is>
          <t>Map</t>
        </is>
      </c>
      <c r="S80" s="61" t="inlineStr">
        <is>
          <t>Raw data</t>
        </is>
      </c>
    </row>
    <row r="81" ht="29" customHeight="1">
      <c r="A81" s="59" t="inlineStr">
        <is>
          <t>32 Ardmore Rd</t>
        </is>
      </c>
      <c r="B81" s="60" t="n">
        <v>156</v>
      </c>
      <c r="C81" s="59" t="inlineStr">
        <is>
          <t>47 Hawarden Cres</t>
        </is>
      </c>
      <c r="D81" s="59" t="inlineStr">
        <is>
          <t>05 108805</t>
        </is>
      </c>
      <c r="E81" s="61" t="inlineStr">
        <is>
          <t>Building records request</t>
        </is>
      </c>
      <c r="F81" s="59" t="inlineStr">
        <is>
          <t>Demolition</t>
        </is>
      </c>
      <c r="G81" s="59" t="inlineStr">
        <is>
          <t>Demolition Folder (DM)</t>
        </is>
      </c>
      <c r="H81" s="59" t="inlineStr">
        <is>
          <t>SFD - Detached</t>
        </is>
      </c>
      <c r="I81" s="59" t="inlineStr">
        <is>
          <t>closed</t>
        </is>
      </c>
      <c r="J81" s="63" t="n">
        <v>38397</v>
      </c>
      <c r="K81" s="63" t="n">
        <v>38456</v>
      </c>
      <c r="L81" s="63" t="n">
        <v>43857</v>
      </c>
      <c r="M81" s="70" t="n"/>
      <c r="N81" s="59" t="inlineStr">
        <is>
          <t>Unreliable (zero or out of band)</t>
        </is>
      </c>
      <c r="O81" s="64" t="n"/>
      <c r="P81" s="59" t="n"/>
      <c r="Q81" s="65" t="inlineStr">
        <is>
          <t>To demolish existing SFD-Detached house and replace with new 3 storey SFD-Detached house.</t>
        </is>
      </c>
      <c r="R81" s="61" t="inlineStr">
        <is>
          <t>Map</t>
        </is>
      </c>
      <c r="S81" s="61" t="inlineStr">
        <is>
          <t>Raw data</t>
        </is>
      </c>
    </row>
    <row r="82" ht="16" customHeight="1">
      <c r="A82" s="59" t="inlineStr">
        <is>
          <t>32 Ardmore Rd</t>
        </is>
      </c>
      <c r="B82" s="60" t="n">
        <v>156</v>
      </c>
      <c r="C82" s="59" t="inlineStr">
        <is>
          <t>14 Silverwood Ave</t>
        </is>
      </c>
      <c r="D82" s="59" t="inlineStr">
        <is>
          <t>20 223903</t>
        </is>
      </c>
      <c r="E82" s="61" t="inlineStr">
        <is>
          <t>Building records request</t>
        </is>
      </c>
      <c r="F82" s="59" t="inlineStr">
        <is>
          <t>Addition or alteration</t>
        </is>
      </c>
      <c r="G82" s="59" t="inlineStr">
        <is>
          <t>Small Residential Projects</t>
        </is>
      </c>
      <c r="H82" s="59" t="inlineStr">
        <is>
          <t>SFD - Detached</t>
        </is>
      </c>
      <c r="I82" s="59" t="inlineStr">
        <is>
          <t>closed</t>
        </is>
      </c>
      <c r="J82" s="63" t="n">
        <v>44165</v>
      </c>
      <c r="K82" s="63" t="n"/>
      <c r="L82" s="63" t="n">
        <v>44165</v>
      </c>
      <c r="M82" s="70" t="n">
        <v>68000</v>
      </c>
      <c r="N82" s="59" t="n"/>
      <c r="O82" s="64" t="n"/>
      <c r="P82" s="59" t="n"/>
      <c r="Q82" s="65" t="inlineStr">
        <is>
          <t>Install inground swimming pool</t>
        </is>
      </c>
      <c r="R82" s="61" t="inlineStr">
        <is>
          <t>Map</t>
        </is>
      </c>
      <c r="S82" s="61" t="inlineStr">
        <is>
          <t>Raw data</t>
        </is>
      </c>
    </row>
    <row r="83" ht="16" customHeight="1">
      <c r="A83" s="59" t="inlineStr">
        <is>
          <t>32 Ardmore Rd</t>
        </is>
      </c>
      <c r="B83" s="60" t="n">
        <v>156</v>
      </c>
      <c r="C83" s="59" t="inlineStr">
        <is>
          <t>47 Hawarden Cres</t>
        </is>
      </c>
      <c r="D83" s="59" t="inlineStr">
        <is>
          <t>21 118909</t>
        </is>
      </c>
      <c r="E83" s="61" t="inlineStr">
        <is>
          <t>Building records request</t>
        </is>
      </c>
      <c r="F83" s="59" t="inlineStr">
        <is>
          <t>Addition or alteration</t>
        </is>
      </c>
      <c r="G83" s="59" t="inlineStr">
        <is>
          <t>Small Residential Projects</t>
        </is>
      </c>
      <c r="H83" s="59" t="inlineStr">
        <is>
          <t>SFD - Detached</t>
        </is>
      </c>
      <c r="I83" s="59" t="inlineStr">
        <is>
          <t>closed</t>
        </is>
      </c>
      <c r="J83" s="63" t="n">
        <v>44249</v>
      </c>
      <c r="K83" s="63" t="n"/>
      <c r="L83" s="63" t="n">
        <v>44250</v>
      </c>
      <c r="M83" s="70" t="n">
        <v>50000</v>
      </c>
      <c r="N83" s="59" t="n"/>
      <c r="O83" s="64" t="n"/>
      <c r="P83" s="59" t="n"/>
      <c r="Q83" s="65" t="inlineStr">
        <is>
          <t>Rear inground pool with enclosure</t>
        </is>
      </c>
      <c r="R83" s="61" t="inlineStr">
        <is>
          <t>Map</t>
        </is>
      </c>
      <c r="S83" s="61" t="inlineStr">
        <is>
          <t>Raw data</t>
        </is>
      </c>
    </row>
    <row r="84" ht="94" customHeight="1">
      <c r="A84" s="59" t="inlineStr">
        <is>
          <t>32 Ardmore Rd</t>
        </is>
      </c>
      <c r="B84" s="60" t="n">
        <v>156</v>
      </c>
      <c r="C84" s="59" t="inlineStr">
        <is>
          <t>47 Hawarden Cres</t>
        </is>
      </c>
      <c r="D84" s="59" t="inlineStr">
        <is>
          <t>21 242278</t>
        </is>
      </c>
      <c r="E84" s="61" t="inlineStr">
        <is>
          <t>Check permit status</t>
        </is>
      </c>
      <c r="F84" s="59" t="inlineStr">
        <is>
          <t>Addition or alteration</t>
        </is>
      </c>
      <c r="G84" s="59" t="inlineStr">
        <is>
          <t>Small Residential Projects; Plumbing(PS)</t>
        </is>
      </c>
      <c r="H84" s="59" t="inlineStr">
        <is>
          <t>SFD - Detached</t>
        </is>
      </c>
      <c r="I84" s="59" t="inlineStr">
        <is>
          <t>under inspection</t>
        </is>
      </c>
      <c r="J84" s="63" t="n">
        <v>44526</v>
      </c>
      <c r="K84" s="63" t="n">
        <v>44596</v>
      </c>
      <c r="L84" s="63" t="n">
        <v>46238</v>
      </c>
      <c r="M84" s="70" t="n">
        <v>50000</v>
      </c>
      <c r="N84" s="59" t="n"/>
      <c r="O84" s="64" t="n"/>
      <c r="P84" s="59" t="n"/>
      <c r="Q84" s="65" t="inlineStr">
        <is>
          <t>Revision 01 - to add folding doors and window to ancillary structureAncillary patio structure with enclosed washroom and covered outdoor bbq area. For seasonal use only. Installation of helical pile foundations, grade beams and slab on grade with wood construction patio structure above. Construction of enclosed seasonal bathroom including plumbing, outdoor fireplace, and outdoor bbq area including electrical outlets and light fixtures. Patio landscape work to tie into existing patio and proposed swimming pool (21-119208 FEN).</t>
        </is>
      </c>
      <c r="R84" s="61" t="inlineStr">
        <is>
          <t>Map</t>
        </is>
      </c>
      <c r="S84" s="61" t="inlineStr">
        <is>
          <t>Raw data</t>
        </is>
      </c>
    </row>
    <row r="85" ht="29" customHeight="1">
      <c r="A85" s="59" t="inlineStr">
        <is>
          <t>32 Ardmore Rd</t>
        </is>
      </c>
      <c r="B85" s="60" t="n">
        <v>158</v>
      </c>
      <c r="C85" s="59" t="inlineStr">
        <is>
          <t>12 Ardmore Rd</t>
        </is>
      </c>
      <c r="D85" s="59" t="inlineStr">
        <is>
          <t>03 114057</t>
        </is>
      </c>
      <c r="E85" s="61" t="inlineStr">
        <is>
          <t>Building records request</t>
        </is>
      </c>
      <c r="F85" s="59" t="inlineStr">
        <is>
          <t>Addition or alteration</t>
        </is>
      </c>
      <c r="G85" s="59" t="inlineStr">
        <is>
          <t>Small Residential Projects</t>
        </is>
      </c>
      <c r="H85" s="59" t="inlineStr">
        <is>
          <t>SFD - Detached</t>
        </is>
      </c>
      <c r="I85" s="59" t="inlineStr">
        <is>
          <t>closed</t>
        </is>
      </c>
      <c r="J85" s="63" t="n">
        <v>37691</v>
      </c>
      <c r="K85" s="63" t="n">
        <v>37706</v>
      </c>
      <c r="L85" s="63" t="n">
        <v>46063</v>
      </c>
      <c r="M85" s="70" t="n">
        <v>100000</v>
      </c>
      <c r="N85" s="59" t="n"/>
      <c r="O85" s="64" t="n"/>
      <c r="P85" s="59" t="n"/>
      <c r="Q85" s="65" t="inlineStr">
        <is>
          <t>to construct a 1-storey addition at the rear and make interior alterations to the 1st, 2nd and 3rd floor.</t>
        </is>
      </c>
      <c r="R85" s="61" t="inlineStr">
        <is>
          <t>Map</t>
        </is>
      </c>
      <c r="S85" s="61" t="inlineStr">
        <is>
          <t>Raw data</t>
        </is>
      </c>
    </row>
    <row r="86" ht="29" customHeight="1">
      <c r="A86" s="59" t="inlineStr">
        <is>
          <t>32 Ardmore Rd</t>
        </is>
      </c>
      <c r="B86" s="60" t="n">
        <v>162</v>
      </c>
      <c r="C86" s="59" t="inlineStr">
        <is>
          <t>19 Elderwood Dr</t>
        </is>
      </c>
      <c r="D86" s="59" t="inlineStr">
        <is>
          <t>09 139609</t>
        </is>
      </c>
      <c r="E86" s="61" t="inlineStr">
        <is>
          <t>Building records request</t>
        </is>
      </c>
      <c r="F86" s="59" t="inlineStr">
        <is>
          <t>Addition or alteration</t>
        </is>
      </c>
      <c r="G86" s="59" t="inlineStr">
        <is>
          <t>Plumbing(PS); Small Residential Projects</t>
        </is>
      </c>
      <c r="H86" s="59" t="inlineStr">
        <is>
          <t>SFD - Detached</t>
        </is>
      </c>
      <c r="I86" s="59" t="inlineStr">
        <is>
          <t>closed</t>
        </is>
      </c>
      <c r="J86" s="63" t="n">
        <v>42717</v>
      </c>
      <c r="K86" s="63" t="n">
        <v>42717</v>
      </c>
      <c r="L86" s="63" t="n">
        <v>44369</v>
      </c>
      <c r="M86" s="70" t="n">
        <v>25000</v>
      </c>
      <c r="N86" s="59" t="n"/>
      <c r="O86" s="64" t="n"/>
      <c r="P86" s="59" t="n"/>
      <c r="Q86" s="65" t="inlineStr">
        <is>
          <t>Plumbing - Proposal for one storey rear addition for existing single family detached dwelling (28m2).</t>
        </is>
      </c>
      <c r="R86" s="61" t="inlineStr">
        <is>
          <t>Map</t>
        </is>
      </c>
      <c r="S86" s="61" t="inlineStr">
        <is>
          <t>Raw data</t>
        </is>
      </c>
    </row>
    <row r="87" ht="29" customHeight="1">
      <c r="A87" s="59" t="inlineStr">
        <is>
          <t>32 Ardmore Rd</t>
        </is>
      </c>
      <c r="B87" s="60" t="n">
        <v>165</v>
      </c>
      <c r="C87" s="59" t="inlineStr">
        <is>
          <t>108 Glenayr Rd</t>
        </is>
      </c>
      <c r="D87" s="59" t="inlineStr">
        <is>
          <t>22 210737</t>
        </is>
      </c>
      <c r="E87" s="61" t="inlineStr">
        <is>
          <t>Check permit status</t>
        </is>
      </c>
      <c r="F87" s="59" t="inlineStr">
        <is>
          <t>New building</t>
        </is>
      </c>
      <c r="G87" s="59" t="inlineStr">
        <is>
          <t>New Houses; Drain and Site Service; Plumbing(PS); Mechanical(MS)</t>
        </is>
      </c>
      <c r="H87" s="59" t="inlineStr">
        <is>
          <t>SFD - Detached</t>
        </is>
      </c>
      <c r="I87" s="59" t="inlineStr">
        <is>
          <t>under inspection</t>
        </is>
      </c>
      <c r="J87" s="63" t="n">
        <v>44833</v>
      </c>
      <c r="K87" s="63" t="n">
        <v>44945</v>
      </c>
      <c r="L87" s="63" t="n"/>
      <c r="M87" s="70" t="n">
        <v>1000000</v>
      </c>
      <c r="N87" s="59" t="n"/>
      <c r="O87" s="64" t="n">
        <v>1</v>
      </c>
      <c r="P87" s="59" t="n"/>
      <c r="Q87" s="65" t="inlineStr">
        <is>
          <t>Plumbing - Proposal to construct a new 3 storey single family dwelling and demolish the existing 2 storey single family dwelling</t>
        </is>
      </c>
      <c r="R87" s="61" t="inlineStr">
        <is>
          <t>Map</t>
        </is>
      </c>
      <c r="S87" s="61" t="inlineStr">
        <is>
          <t>Raw data</t>
        </is>
      </c>
    </row>
    <row r="88" ht="29" customHeight="1">
      <c r="A88" s="59" t="inlineStr">
        <is>
          <t>32 Ardmore Rd</t>
        </is>
      </c>
      <c r="B88" s="60" t="n">
        <v>165</v>
      </c>
      <c r="C88" s="59" t="inlineStr">
        <is>
          <t>108 Glenayr Rd</t>
        </is>
      </c>
      <c r="D88" s="59" t="inlineStr">
        <is>
          <t>22 210750</t>
        </is>
      </c>
      <c r="E88" s="61" t="inlineStr">
        <is>
          <t>Building records request</t>
        </is>
      </c>
      <c r="F88" s="59" t="inlineStr">
        <is>
          <t>Demolition</t>
        </is>
      </c>
      <c r="G88" s="59" t="inlineStr">
        <is>
          <t>Demolition Folder (DM)</t>
        </is>
      </c>
      <c r="H88" s="59" t="inlineStr">
        <is>
          <t>SFD - Detached</t>
        </is>
      </c>
      <c r="I88" s="59" t="inlineStr">
        <is>
          <t>closed</t>
        </is>
      </c>
      <c r="J88" s="63" t="n">
        <v>44833</v>
      </c>
      <c r="K88" s="63" t="n">
        <v>44945</v>
      </c>
      <c r="L88" s="63" t="n">
        <v>46225</v>
      </c>
      <c r="M88" s="70" t="n"/>
      <c r="N88" s="59" t="inlineStr">
        <is>
          <t>Unreliable (zero or out of band)</t>
        </is>
      </c>
      <c r="O88" s="64" t="n"/>
      <c r="P88" s="59" t="n"/>
      <c r="Q88" s="65" t="inlineStr">
        <is>
          <t>Proposal to demolish existing 2 storey single family dwelling to construct a new 3 storey single family dwelling</t>
        </is>
      </c>
      <c r="R88" s="61" t="inlineStr">
        <is>
          <t>Map</t>
        </is>
      </c>
      <c r="S88" s="61" t="inlineStr">
        <is>
          <t>Raw data</t>
        </is>
      </c>
    </row>
    <row r="89" ht="42" customHeight="1">
      <c r="A89" s="59" t="inlineStr">
        <is>
          <t>32 Ardmore Rd</t>
        </is>
      </c>
      <c r="B89" s="60" t="n">
        <v>166</v>
      </c>
      <c r="C89" s="59" t="inlineStr">
        <is>
          <t>193 Rosemary Rd</t>
        </is>
      </c>
      <c r="D89" s="59" t="inlineStr">
        <is>
          <t>05 166308</t>
        </is>
      </c>
      <c r="E89" s="61" t="inlineStr">
        <is>
          <t>Building records request</t>
        </is>
      </c>
      <c r="F89" s="59" t="inlineStr">
        <is>
          <t>Addition or alteration</t>
        </is>
      </c>
      <c r="G89" s="59" t="inlineStr">
        <is>
          <t>Small Residential Projects; Plumbing(PS)</t>
        </is>
      </c>
      <c r="H89" s="59" t="inlineStr">
        <is>
          <t>SFD - Detached</t>
        </is>
      </c>
      <c r="I89" s="59" t="inlineStr">
        <is>
          <t>refusal notice</t>
        </is>
      </c>
      <c r="J89" s="63" t="n">
        <v>38566</v>
      </c>
      <c r="K89" s="63" t="n"/>
      <c r="L89" s="63" t="n">
        <v>44529</v>
      </c>
      <c r="M89" s="70" t="n">
        <v>25000</v>
      </c>
      <c r="N89" s="59" t="n"/>
      <c r="O89" s="64" t="n"/>
      <c r="P89" s="59" t="inlineStr">
        <is>
          <t>A0056/05TEY</t>
        </is>
      </c>
      <c r="Q89" s="65" t="inlineStr">
        <is>
          <t>Construct a 2nd storey front yard addition with a 2nd floor terrace and interior alterations.C.O.A. A0056/05TEY.***COMES UP ON 5 MNTH LIST - NEVER RECEIVED IN CUSTOMER SERVICE SECTION AS OF FEB.6/09***</t>
        </is>
      </c>
      <c r="R89" s="61" t="inlineStr">
        <is>
          <t>Map</t>
        </is>
      </c>
      <c r="S89" s="61" t="inlineStr">
        <is>
          <t>Raw data</t>
        </is>
      </c>
    </row>
    <row r="90" ht="16" customHeight="1">
      <c r="A90" s="59" t="inlineStr">
        <is>
          <t>32 Ardmore Rd</t>
        </is>
      </c>
      <c r="B90" s="60" t="n">
        <v>166</v>
      </c>
      <c r="C90" s="59" t="inlineStr">
        <is>
          <t>105 Glenayr Rd</t>
        </is>
      </c>
      <c r="D90" s="59" t="inlineStr">
        <is>
          <t>19 169558</t>
        </is>
      </c>
      <c r="E90" s="61" t="inlineStr">
        <is>
          <t>Building records request</t>
        </is>
      </c>
      <c r="F90" s="59" t="inlineStr">
        <is>
          <t>Demolition</t>
        </is>
      </c>
      <c r="G90" s="59" t="inlineStr">
        <is>
          <t>Demolition Folder (DM)</t>
        </is>
      </c>
      <c r="H90" s="59" t="inlineStr">
        <is>
          <t>SFD - Detached</t>
        </is>
      </c>
      <c r="I90" s="59" t="inlineStr">
        <is>
          <t>closed</t>
        </is>
      </c>
      <c r="J90" s="63" t="n">
        <v>43627</v>
      </c>
      <c r="K90" s="63" t="n">
        <v>43677</v>
      </c>
      <c r="L90" s="63" t="n">
        <v>43859</v>
      </c>
      <c r="M90" s="70" t="n"/>
      <c r="N90" s="59" t="inlineStr">
        <is>
          <t>Unreliable (zero or out of band)</t>
        </is>
      </c>
      <c r="O90" s="64" t="n"/>
      <c r="P90" s="59" t="n"/>
      <c r="Q90" s="65" t="inlineStr">
        <is>
          <t>Proposal to demolish the existing SFD-detached dwelling.</t>
        </is>
      </c>
      <c r="R90" s="61" t="inlineStr">
        <is>
          <t>Map</t>
        </is>
      </c>
      <c r="S90" s="61" t="inlineStr">
        <is>
          <t>Raw data</t>
        </is>
      </c>
    </row>
    <row r="91" ht="55" customHeight="1">
      <c r="A91" s="59" t="inlineStr">
        <is>
          <t>32 Ardmore Rd</t>
        </is>
      </c>
      <c r="B91" s="60" t="n">
        <v>166</v>
      </c>
      <c r="C91" s="59" t="inlineStr">
        <is>
          <t>105 Glenayr Rd</t>
        </is>
      </c>
      <c r="D91" s="59" t="inlineStr">
        <is>
          <t>19 169566</t>
        </is>
      </c>
      <c r="E91" s="61" t="inlineStr">
        <is>
          <t>Building records request</t>
        </is>
      </c>
      <c r="F91" s="59" t="inlineStr">
        <is>
          <t>New building</t>
        </is>
      </c>
      <c r="G91" s="59" t="inlineStr">
        <is>
          <t>Mechanical(MS); Plumbing(PS); New Houses; Drain and Site Service</t>
        </is>
      </c>
      <c r="H91" s="59" t="inlineStr">
        <is>
          <t>SFD - Detached</t>
        </is>
      </c>
      <c r="I91" s="59" t="inlineStr">
        <is>
          <t>closed</t>
        </is>
      </c>
      <c r="J91" s="63" t="n">
        <v>43945</v>
      </c>
      <c r="K91" s="63" t="n">
        <v>43956</v>
      </c>
      <c r="L91" s="63" t="n">
        <v>45820</v>
      </c>
      <c r="M91" s="70" t="n">
        <v>1500000</v>
      </c>
      <c r="N91" s="59" t="n"/>
      <c r="O91" s="64" t="n"/>
      <c r="P91" s="59" t="n"/>
      <c r="Q91" s="65" t="inlineStr">
        <is>
          <t>REV01: Revision to permit 19-169566 BLD as per bubbled area. Proposed changes to rear deck and front bumpout. Proposal to construct a new 3 storey SFD-detached dwelling with an integral garage and a finished basement. See also 19 169558 DEM, 16 153262 ZZC and 16 236778 MV.</t>
        </is>
      </c>
      <c r="R91" s="61" t="inlineStr">
        <is>
          <t>Map</t>
        </is>
      </c>
      <c r="S91" s="61" t="inlineStr">
        <is>
          <t>Raw data</t>
        </is>
      </c>
    </row>
    <row r="92" ht="16" customHeight="1">
      <c r="A92" s="59" t="inlineStr">
        <is>
          <t>32 Ardmore Rd</t>
        </is>
      </c>
      <c r="B92" s="60" t="n">
        <v>166</v>
      </c>
      <c r="C92" s="59" t="inlineStr">
        <is>
          <t>105 Glenayr Rd</t>
        </is>
      </c>
      <c r="D92" s="59" t="inlineStr">
        <is>
          <t>20 191429</t>
        </is>
      </c>
      <c r="E92" s="61" t="inlineStr">
        <is>
          <t>Building records request</t>
        </is>
      </c>
      <c r="F92" s="59" t="inlineStr">
        <is>
          <t>Addition or alteration</t>
        </is>
      </c>
      <c r="G92" s="59" t="inlineStr">
        <is>
          <t>Small Residential Projects</t>
        </is>
      </c>
      <c r="H92" s="59" t="inlineStr">
        <is>
          <t>SFD - Detached</t>
        </is>
      </c>
      <c r="I92" s="59" t="inlineStr">
        <is>
          <t>closed</t>
        </is>
      </c>
      <c r="J92" s="63" t="n">
        <v>44083</v>
      </c>
      <c r="K92" s="63" t="n"/>
      <c r="L92" s="63" t="n">
        <v>44090</v>
      </c>
      <c r="M92" s="70" t="n">
        <v>45000</v>
      </c>
      <c r="N92" s="59" t="n"/>
      <c r="O92" s="64" t="n"/>
      <c r="P92" s="59" t="n"/>
      <c r="Q92" s="65" t="inlineStr">
        <is>
          <t>Installation of pool fence enclosure</t>
        </is>
      </c>
      <c r="R92" s="61" t="inlineStr">
        <is>
          <t>Map</t>
        </is>
      </c>
      <c r="S92" s="61" t="inlineStr">
        <is>
          <t>Raw data</t>
        </is>
      </c>
    </row>
    <row r="93" ht="16" customHeight="1">
      <c r="A93" s="59" t="inlineStr">
        <is>
          <t>32 Ardmore Rd</t>
        </is>
      </c>
      <c r="B93" s="60" t="n">
        <v>168</v>
      </c>
      <c r="C93" s="59" t="inlineStr">
        <is>
          <t>47 Elderwood Dr</t>
        </is>
      </c>
      <c r="D93" s="59" t="inlineStr">
        <is>
          <t>01 108839</t>
        </is>
      </c>
      <c r="E93" s="61" t="inlineStr">
        <is>
          <t>Building records request</t>
        </is>
      </c>
      <c r="F93" s="59" t="inlineStr">
        <is>
          <t>Addition or alteration</t>
        </is>
      </c>
      <c r="G93" s="59" t="inlineStr">
        <is>
          <t>Small Residential Projects</t>
        </is>
      </c>
      <c r="H93" s="59" t="inlineStr">
        <is>
          <t>SFD - Detached</t>
        </is>
      </c>
      <c r="I93" s="59" t="inlineStr">
        <is>
          <t>under inspection</t>
        </is>
      </c>
      <c r="J93" s="63" t="n">
        <v>36930</v>
      </c>
      <c r="K93" s="63" t="n">
        <v>36935</v>
      </c>
      <c r="L93" s="63" t="n"/>
      <c r="M93" s="70" t="n">
        <v>63000</v>
      </c>
      <c r="N93" s="59" t="n"/>
      <c r="O93" s="64" t="n"/>
      <c r="P93" s="59" t="n"/>
      <c r="Q93" s="65" t="inlineStr">
        <is>
          <t>Make alterations and construct 2nd floor addition at rear.</t>
        </is>
      </c>
      <c r="R93" s="61" t="inlineStr">
        <is>
          <t>Map</t>
        </is>
      </c>
      <c r="S93" s="61" t="inlineStr">
        <is>
          <t>Raw data</t>
        </is>
      </c>
    </row>
    <row r="94" ht="16" customHeight="1">
      <c r="A94" s="59" t="inlineStr">
        <is>
          <t>32 Ardmore Rd</t>
        </is>
      </c>
      <c r="B94" s="60" t="n">
        <v>168</v>
      </c>
      <c r="C94" s="59" t="inlineStr">
        <is>
          <t>34 Hawarden Cres</t>
        </is>
      </c>
      <c r="D94" s="59" t="inlineStr">
        <is>
          <t>20 120954</t>
        </is>
      </c>
      <c r="E94" s="61" t="inlineStr">
        <is>
          <t>Building records request</t>
        </is>
      </c>
      <c r="F94" s="59" t="inlineStr">
        <is>
          <t>Addition or alteration</t>
        </is>
      </c>
      <c r="G94" s="59" t="inlineStr">
        <is>
          <t>Small Residential Projects</t>
        </is>
      </c>
      <c r="H94" s="59" t="inlineStr">
        <is>
          <t>SFD - Detached</t>
        </is>
      </c>
      <c r="I94" s="59" t="inlineStr">
        <is>
          <t>closed</t>
        </is>
      </c>
      <c r="J94" s="63" t="n">
        <v>43892</v>
      </c>
      <c r="K94" s="63" t="n"/>
      <c r="L94" s="63" t="n">
        <v>43900</v>
      </c>
      <c r="M94" s="70" t="n">
        <v>8000</v>
      </c>
      <c r="N94" s="59" t="n"/>
      <c r="O94" s="64" t="n"/>
      <c r="P94" s="59" t="n"/>
      <c r="Q94" s="65" t="inlineStr">
        <is>
          <t>Inground pool fence enclosure</t>
        </is>
      </c>
      <c r="R94" s="61" t="inlineStr">
        <is>
          <t>Map</t>
        </is>
      </c>
      <c r="S94" s="61" t="inlineStr">
        <is>
          <t>Raw data</t>
        </is>
      </c>
    </row>
    <row r="95" ht="16" customHeight="1">
      <c r="A95" s="59" t="inlineStr">
        <is>
          <t>32 Ardmore Rd</t>
        </is>
      </c>
      <c r="B95" s="60" t="n">
        <v>176</v>
      </c>
      <c r="C95" s="59" t="inlineStr">
        <is>
          <t>38 Elderwood Dr</t>
        </is>
      </c>
      <c r="D95" s="59" t="inlineStr">
        <is>
          <t>14 219971</t>
        </is>
      </c>
      <c r="E95" s="61" t="inlineStr">
        <is>
          <t>Building records request</t>
        </is>
      </c>
      <c r="F95" s="59" t="inlineStr">
        <is>
          <t>Addition or alteration</t>
        </is>
      </c>
      <c r="G95" s="59" t="inlineStr">
        <is>
          <t>Small Residential Projects; Drain and Site Service</t>
        </is>
      </c>
      <c r="H95" s="59" t="inlineStr">
        <is>
          <t>SFD - Detached</t>
        </is>
      </c>
      <c r="I95" s="59" t="inlineStr">
        <is>
          <t>closed</t>
        </is>
      </c>
      <c r="J95" s="63" t="n">
        <v>41892</v>
      </c>
      <c r="K95" s="63" t="n">
        <v>41893</v>
      </c>
      <c r="L95" s="63" t="n">
        <v>43881</v>
      </c>
      <c r="M95" s="70" t="n">
        <v>25000</v>
      </c>
      <c r="N95" s="59" t="n"/>
      <c r="O95" s="64" t="n"/>
      <c r="P95" s="59" t="n"/>
      <c r="Q95" s="65" t="inlineStr">
        <is>
          <t>Drain - Underpin existing basement (Basement to remain unfinished)</t>
        </is>
      </c>
      <c r="R95" s="61" t="inlineStr">
        <is>
          <t>Map</t>
        </is>
      </c>
      <c r="S95" s="61" t="inlineStr">
        <is>
          <t>Raw data</t>
        </is>
      </c>
    </row>
    <row r="96" ht="29" customHeight="1">
      <c r="A96" s="59" t="inlineStr">
        <is>
          <t>32 Ardmore Rd</t>
        </is>
      </c>
      <c r="B96" s="60" t="n">
        <v>176</v>
      </c>
      <c r="C96" s="59" t="inlineStr">
        <is>
          <t>38 Elderwood Dr</t>
        </is>
      </c>
      <c r="D96" s="59" t="inlineStr">
        <is>
          <t>15 126477</t>
        </is>
      </c>
      <c r="E96" s="61" t="inlineStr">
        <is>
          <t>Building records request</t>
        </is>
      </c>
      <c r="F96" s="59" t="inlineStr">
        <is>
          <t>New building</t>
        </is>
      </c>
      <c r="G96" s="59" t="inlineStr">
        <is>
          <t>Mechanical(MS); Plumbing(PS); New Houses; Drain and Site Service</t>
        </is>
      </c>
      <c r="H96" s="59" t="inlineStr">
        <is>
          <t>SFD - Detached</t>
        </is>
      </c>
      <c r="I96" s="59" t="inlineStr">
        <is>
          <t>closed</t>
        </is>
      </c>
      <c r="J96" s="63" t="n">
        <v>42584</v>
      </c>
      <c r="K96" s="63" t="n">
        <v>42594</v>
      </c>
      <c r="L96" s="63" t="n">
        <v>45881</v>
      </c>
      <c r="M96" s="70" t="n">
        <v>500000</v>
      </c>
      <c r="N96" s="59" t="n"/>
      <c r="O96" s="64" t="n">
        <v>1</v>
      </c>
      <c r="P96" s="59" t="n"/>
      <c r="Q96" s="65" t="inlineStr">
        <is>
          <t>HVAC - Proposal to construct new two storey single family detached dwelling existing garage in rear yard to remain</t>
        </is>
      </c>
      <c r="R96" s="61" t="inlineStr">
        <is>
          <t>Map</t>
        </is>
      </c>
      <c r="S96" s="61" t="inlineStr">
        <is>
          <t>Raw data</t>
        </is>
      </c>
    </row>
    <row r="97" ht="16" customHeight="1">
      <c r="A97" s="59" t="inlineStr">
        <is>
          <t>32 Ardmore Rd</t>
        </is>
      </c>
      <c r="B97" s="60" t="n">
        <v>176</v>
      </c>
      <c r="C97" s="59" t="inlineStr">
        <is>
          <t>38 Elderwood Dr</t>
        </is>
      </c>
      <c r="D97" s="59" t="inlineStr">
        <is>
          <t>15 126975</t>
        </is>
      </c>
      <c r="E97" s="61" t="inlineStr">
        <is>
          <t>Building records request</t>
        </is>
      </c>
      <c r="F97" s="59" t="inlineStr">
        <is>
          <t>Demolition</t>
        </is>
      </c>
      <c r="G97" s="59" t="inlineStr">
        <is>
          <t>Demolition Folder (DM)</t>
        </is>
      </c>
      <c r="H97" s="59" t="inlineStr">
        <is>
          <t>SFD - Detached</t>
        </is>
      </c>
      <c r="I97" s="59" t="inlineStr">
        <is>
          <t>closed</t>
        </is>
      </c>
      <c r="J97" s="63" t="n">
        <v>42075</v>
      </c>
      <c r="K97" s="63" t="n">
        <v>42122</v>
      </c>
      <c r="L97" s="63" t="n">
        <v>42782</v>
      </c>
      <c r="M97" s="70" t="n"/>
      <c r="N97" s="59" t="inlineStr">
        <is>
          <t>Unreliable (zero or out of band)</t>
        </is>
      </c>
      <c r="O97" s="64" t="n"/>
      <c r="P97" s="59" t="n"/>
      <c r="Q97" s="65" t="inlineStr">
        <is>
          <t>Proposal to demolish existing 2 1/2 storey detached dwelling</t>
        </is>
      </c>
      <c r="R97" s="61" t="inlineStr">
        <is>
          <t>Map</t>
        </is>
      </c>
      <c r="S97" s="61" t="inlineStr">
        <is>
          <t>Raw data</t>
        </is>
      </c>
    </row>
    <row r="98" ht="16" customHeight="1">
      <c r="A98" s="59" t="inlineStr">
        <is>
          <t>32 Ardmore Rd</t>
        </is>
      </c>
      <c r="B98" s="60" t="n">
        <v>178</v>
      </c>
      <c r="C98" s="59" t="inlineStr">
        <is>
          <t>307 Glenayr Rd</t>
        </is>
      </c>
      <c r="D98" s="59" t="inlineStr">
        <is>
          <t>20 192400</t>
        </is>
      </c>
      <c r="E98" s="61" t="inlineStr">
        <is>
          <t>Building records request</t>
        </is>
      </c>
      <c r="F98" s="59" t="inlineStr">
        <is>
          <t>Addition or alteration</t>
        </is>
      </c>
      <c r="G98" s="59" t="inlineStr">
        <is>
          <t>Small Residential Projects</t>
        </is>
      </c>
      <c r="H98" s="59" t="inlineStr">
        <is>
          <t>SFD - Detached</t>
        </is>
      </c>
      <c r="I98" s="59" t="inlineStr">
        <is>
          <t>closed</t>
        </is>
      </c>
      <c r="J98" s="63" t="n">
        <v>44085</v>
      </c>
      <c r="K98" s="63" t="n"/>
      <c r="L98" s="63" t="n">
        <v>44088</v>
      </c>
      <c r="M98" s="70" t="n">
        <v>5000</v>
      </c>
      <c r="N98" s="59" t="n"/>
      <c r="O98" s="64" t="n"/>
      <c r="P98" s="59" t="n"/>
      <c r="Q98" s="65" t="inlineStr">
        <is>
          <t>Proposed pool fence enclosure</t>
        </is>
      </c>
      <c r="R98" s="61" t="inlineStr">
        <is>
          <t>Map</t>
        </is>
      </c>
      <c r="S98" s="61" t="inlineStr">
        <is>
          <t>Raw data</t>
        </is>
      </c>
    </row>
    <row r="99" ht="42" customHeight="1">
      <c r="A99" s="59" t="inlineStr">
        <is>
          <t>32 Ardmore Rd</t>
        </is>
      </c>
      <c r="B99" s="60" t="n">
        <v>178</v>
      </c>
      <c r="C99" s="59" t="inlineStr">
        <is>
          <t>106 Glenayr Rd</t>
        </is>
      </c>
      <c r="D99" s="59" t="inlineStr">
        <is>
          <t>21 197176</t>
        </is>
      </c>
      <c r="E99" s="61" t="inlineStr">
        <is>
          <t>Building records request</t>
        </is>
      </c>
      <c r="F99" s="59" t="inlineStr">
        <is>
          <t>New building</t>
        </is>
      </c>
      <c r="G99" s="59" t="inlineStr">
        <is>
          <t>Mechanical(MS); Plumbing(PS); New Houses; Drain and Site Service</t>
        </is>
      </c>
      <c r="H99" s="59" t="inlineStr">
        <is>
          <t>SFD - Detached</t>
        </is>
      </c>
      <c r="I99" s="59" t="inlineStr">
        <is>
          <t>closed</t>
        </is>
      </c>
      <c r="J99" s="63" t="n">
        <v>44973</v>
      </c>
      <c r="K99" s="63" t="n">
        <v>44981</v>
      </c>
      <c r="L99" s="63" t="n">
        <v>45426</v>
      </c>
      <c r="M99" s="70" t="n">
        <v>1500000</v>
      </c>
      <c r="N99" s="59" t="n"/>
      <c r="O99" s="64" t="n"/>
      <c r="P99" s="59" t="n"/>
      <c r="Q99" s="65" t="inlineStr">
        <is>
          <t>REV02: Changes in foundation, footings and interior layoutRevision 01. Interior Layout and Front Elevation ModificationProposal to construct a new two storey single family dwelling with an integral garage</t>
        </is>
      </c>
      <c r="R99" s="61" t="inlineStr">
        <is>
          <t>Map</t>
        </is>
      </c>
      <c r="S99" s="61" t="inlineStr">
        <is>
          <t>Raw data</t>
        </is>
      </c>
    </row>
    <row r="100" ht="29" customHeight="1">
      <c r="A100" s="59" t="inlineStr">
        <is>
          <t>32 Ardmore Rd</t>
        </is>
      </c>
      <c r="B100" s="60" t="n">
        <v>178</v>
      </c>
      <c r="C100" s="59" t="inlineStr">
        <is>
          <t>106 Glenayr Rd</t>
        </is>
      </c>
      <c r="D100" s="59" t="inlineStr">
        <is>
          <t>21 197189</t>
        </is>
      </c>
      <c r="E100" s="61" t="inlineStr">
        <is>
          <t>Building records request</t>
        </is>
      </c>
      <c r="F100" s="59" t="inlineStr">
        <is>
          <t>Demolition</t>
        </is>
      </c>
      <c r="G100" s="59" t="inlineStr">
        <is>
          <t>Demolition Folder (DM)</t>
        </is>
      </c>
      <c r="H100" s="59" t="inlineStr">
        <is>
          <t>SFD - Detached</t>
        </is>
      </c>
      <c r="I100" s="59" t="inlineStr">
        <is>
          <t>closed</t>
        </is>
      </c>
      <c r="J100" s="63" t="n">
        <v>44420</v>
      </c>
      <c r="K100" s="63" t="n">
        <v>44462</v>
      </c>
      <c r="L100" s="63" t="n">
        <v>44984</v>
      </c>
      <c r="M100" s="70" t="n"/>
      <c r="N100" s="59" t="inlineStr">
        <is>
          <t>Unreliable (zero or out of band)</t>
        </is>
      </c>
      <c r="O100" s="64" t="n"/>
      <c r="P100" s="59" t="n"/>
      <c r="Q100" s="65" t="inlineStr">
        <is>
          <t>Proposal to demolish the existing dwelling in order to construct a new dwelling.</t>
        </is>
      </c>
      <c r="R100" s="61" t="inlineStr">
        <is>
          <t>Map</t>
        </is>
      </c>
      <c r="S100" s="61" t="inlineStr">
        <is>
          <t>Raw data</t>
        </is>
      </c>
    </row>
    <row r="101" ht="16" customHeight="1">
      <c r="A101" s="59" t="inlineStr">
        <is>
          <t>32 Ardmore Rd</t>
        </is>
      </c>
      <c r="B101" s="60" t="n">
        <v>180</v>
      </c>
      <c r="C101" s="59" t="inlineStr">
        <is>
          <t>200 Rosemary Rd</t>
        </is>
      </c>
      <c r="D101" s="59" t="inlineStr">
        <is>
          <t>20 156262</t>
        </is>
      </c>
      <c r="E101" s="61" t="inlineStr">
        <is>
          <t>Building records request</t>
        </is>
      </c>
      <c r="F101" s="59" t="inlineStr">
        <is>
          <t>Addition or alteration</t>
        </is>
      </c>
      <c r="G101" s="59" t="inlineStr">
        <is>
          <t>Small Residential Projects</t>
        </is>
      </c>
      <c r="H101" s="59" t="inlineStr">
        <is>
          <t>SFD - Detached</t>
        </is>
      </c>
      <c r="I101" s="59" t="inlineStr">
        <is>
          <t>closed</t>
        </is>
      </c>
      <c r="J101" s="63" t="n">
        <v>43997</v>
      </c>
      <c r="K101" s="63" t="n"/>
      <c r="L101" s="63" t="n">
        <v>43997</v>
      </c>
      <c r="M101" s="70" t="n">
        <v>50000</v>
      </c>
      <c r="N101" s="59" t="n"/>
      <c r="O101" s="64" t="n"/>
      <c r="P101" s="59" t="n"/>
      <c r="Q101" s="65" t="inlineStr">
        <is>
          <t>Proposed pool fence</t>
        </is>
      </c>
      <c r="R101" s="61" t="inlineStr">
        <is>
          <t>Map</t>
        </is>
      </c>
      <c r="S101" s="61" t="inlineStr">
        <is>
          <t>Raw data</t>
        </is>
      </c>
    </row>
    <row r="102" ht="29" customHeight="1">
      <c r="A102" s="59" t="inlineStr">
        <is>
          <t>32 Ardmore Rd</t>
        </is>
      </c>
      <c r="B102" s="60" t="n">
        <v>181</v>
      </c>
      <c r="C102" s="59" t="inlineStr">
        <is>
          <t>204 Rosemary Rd</t>
        </is>
      </c>
      <c r="D102" s="59" t="inlineStr">
        <is>
          <t>07 267174</t>
        </is>
      </c>
      <c r="E102" s="61" t="inlineStr">
        <is>
          <t>Building records request</t>
        </is>
      </c>
      <c r="F102" s="59" t="inlineStr">
        <is>
          <t>Addition or alteration</t>
        </is>
      </c>
      <c r="G102" s="59" t="inlineStr">
        <is>
          <t>Small Residential Projects</t>
        </is>
      </c>
      <c r="H102" s="59" t="inlineStr">
        <is>
          <t>SFD - Detached</t>
        </is>
      </c>
      <c r="I102" s="59" t="inlineStr">
        <is>
          <t>under inspection</t>
        </is>
      </c>
      <c r="J102" s="63" t="n">
        <v>39358</v>
      </c>
      <c r="K102" s="63" t="n">
        <v>39387</v>
      </c>
      <c r="L102" s="63" t="n"/>
      <c r="M102" s="70" t="n">
        <v>400000</v>
      </c>
      <c r="N102" s="59" t="n"/>
      <c r="O102" s="64" t="n"/>
      <c r="P102" s="59" t="n"/>
      <c r="Q102" s="65" t="inlineStr">
        <is>
          <t>Permit for 2 storey rear addition - basement underpinning - and interior alterations on all floors</t>
        </is>
      </c>
      <c r="R102" s="61" t="inlineStr">
        <is>
          <t>Map</t>
        </is>
      </c>
      <c r="S102" s="61" t="inlineStr">
        <is>
          <t>Raw data</t>
        </is>
      </c>
    </row>
    <row r="103" ht="81" customHeight="1">
      <c r="A103" s="59" t="inlineStr">
        <is>
          <t>32 Ardmore Rd</t>
        </is>
      </c>
      <c r="B103" s="60" t="n">
        <v>181</v>
      </c>
      <c r="C103" s="59" t="inlineStr">
        <is>
          <t>44 Burton Rd</t>
        </is>
      </c>
      <c r="D103" s="59" t="inlineStr">
        <is>
          <t>13 265222</t>
        </is>
      </c>
      <c r="E103" s="61" t="inlineStr">
        <is>
          <t>Building records request</t>
        </is>
      </c>
      <c r="F103" s="59" t="inlineStr">
        <is>
          <t>Addition or alteration</t>
        </is>
      </c>
      <c r="G103" s="59" t="inlineStr">
        <is>
          <t>Mechanical(MS); Plumbing(PS); Small Residential Projects; Drain and Site Service</t>
        </is>
      </c>
      <c r="H103" s="59" t="inlineStr">
        <is>
          <t>SFD - Detached</t>
        </is>
      </c>
      <c r="I103" s="59" t="inlineStr">
        <is>
          <t>closed</t>
        </is>
      </c>
      <c r="J103" s="63" t="n">
        <v>42230</v>
      </c>
      <c r="K103" s="63" t="n">
        <v>42234</v>
      </c>
      <c r="L103" s="63" t="n">
        <v>43423</v>
      </c>
      <c r="M103" s="70" t="n">
        <v>200000</v>
      </c>
      <c r="N103" s="59" t="n"/>
      <c r="O103" s="64" t="n"/>
      <c r="P103" s="59" t="n"/>
      <c r="Q103" s="65" t="inlineStr">
        <is>
          <t>Revision # 02 - For a below grade front addition, and minor alterations to the Ground &amp; 2nd Floors and new windows in the existing single family dwelling. (PREVIOUS Rev.#01: Revision to construct a 1 storey addition to the front of the garage, new roof deck over this addition, renovate existing front porch and roof, underpinning in the basement and interior alteration changes).</t>
        </is>
      </c>
      <c r="R103" s="61" t="inlineStr">
        <is>
          <t>Map</t>
        </is>
      </c>
      <c r="S103" s="61" t="inlineStr">
        <is>
          <t>Raw data</t>
        </is>
      </c>
    </row>
    <row r="104" ht="29" customHeight="1">
      <c r="A104" s="59" t="inlineStr">
        <is>
          <t>32 Ardmore Rd</t>
        </is>
      </c>
      <c r="B104" s="60" t="n">
        <v>181</v>
      </c>
      <c r="C104" s="59" t="inlineStr">
        <is>
          <t>44 Burton Rd</t>
        </is>
      </c>
      <c r="D104" s="59" t="inlineStr">
        <is>
          <t>19 238191</t>
        </is>
      </c>
      <c r="E104" s="61" t="inlineStr">
        <is>
          <t>Building records request</t>
        </is>
      </c>
      <c r="F104" s="59" t="inlineStr">
        <is>
          <t>Addition or alteration</t>
        </is>
      </c>
      <c r="G104" s="59" t="inlineStr">
        <is>
          <t>Small Residential Projects</t>
        </is>
      </c>
      <c r="H104" s="59" t="inlineStr">
        <is>
          <t>SFD - Detached</t>
        </is>
      </c>
      <c r="I104" s="59" t="inlineStr">
        <is>
          <t>closed</t>
        </is>
      </c>
      <c r="J104" s="63" t="n">
        <v>43756</v>
      </c>
      <c r="K104" s="63" t="n">
        <v>43763</v>
      </c>
      <c r="L104" s="63" t="n">
        <v>43979</v>
      </c>
      <c r="M104" s="70" t="n">
        <v>50000</v>
      </c>
      <c r="N104" s="59" t="n"/>
      <c r="O104" s="64" t="n"/>
      <c r="P104" s="59" t="n"/>
      <c r="Q104" s="65" t="inlineStr">
        <is>
          <t>Interior alterations, new wall to second floor master bedroom, new opening in basement, retrofit opening on ground floor den to existing</t>
        </is>
      </c>
      <c r="R104" s="61" t="inlineStr">
        <is>
          <t>Map</t>
        </is>
      </c>
      <c r="S104" s="61" t="inlineStr">
        <is>
          <t>Raw data</t>
        </is>
      </c>
    </row>
    <row r="105" ht="16" customHeight="1">
      <c r="A105" s="59" t="inlineStr">
        <is>
          <t>32 Ardmore Rd</t>
        </is>
      </c>
      <c r="B105" s="60" t="n">
        <v>182</v>
      </c>
      <c r="C105" s="59" t="inlineStr">
        <is>
          <t>10 Silverwood Ave</t>
        </is>
      </c>
      <c r="D105" s="59" t="inlineStr">
        <is>
          <t>10 123277</t>
        </is>
      </c>
      <c r="E105" s="61" t="inlineStr">
        <is>
          <t>Building records request</t>
        </is>
      </c>
      <c r="F105" s="59" t="inlineStr">
        <is>
          <t>Addition or alteration</t>
        </is>
      </c>
      <c r="G105" s="59" t="inlineStr">
        <is>
          <t>Small Residential Projects</t>
        </is>
      </c>
      <c r="H105" s="59" t="inlineStr">
        <is>
          <t>SFD - Detached</t>
        </is>
      </c>
      <c r="I105" s="59" t="inlineStr">
        <is>
          <t>closed</t>
        </is>
      </c>
      <c r="J105" s="63" t="n">
        <v>40234</v>
      </c>
      <c r="K105" s="63" t="n">
        <v>40289</v>
      </c>
      <c r="L105" s="63" t="n">
        <v>45889</v>
      </c>
      <c r="M105" s="70" t="n">
        <v>20000</v>
      </c>
      <c r="N105" s="59" t="n"/>
      <c r="O105" s="64" t="n"/>
      <c r="P105" s="59" t="n"/>
      <c r="Q105" s="65" t="inlineStr">
        <is>
          <t>Construct front and rear addition (foyer additions) See: C. of A. Dec.</t>
        </is>
      </c>
      <c r="R105" s="61" t="inlineStr">
        <is>
          <t>Map</t>
        </is>
      </c>
      <c r="S105" s="61" t="inlineStr">
        <is>
          <t>Raw data</t>
        </is>
      </c>
    </row>
    <row r="106" ht="16" customHeight="1">
      <c r="A106" s="59" t="inlineStr">
        <is>
          <t>32 Ardmore Rd</t>
        </is>
      </c>
      <c r="B106" s="60" t="n">
        <v>182</v>
      </c>
      <c r="C106" s="59" t="inlineStr">
        <is>
          <t>10 Silverwood Ave</t>
        </is>
      </c>
      <c r="D106" s="59" t="inlineStr">
        <is>
          <t>11 217161</t>
        </is>
      </c>
      <c r="E106" s="61" t="inlineStr">
        <is>
          <t>Building records request</t>
        </is>
      </c>
      <c r="F106" s="59" t="inlineStr">
        <is>
          <t>Addition or alteration</t>
        </is>
      </c>
      <c r="G106" s="59" t="inlineStr">
        <is>
          <t>Small Residential Projects</t>
        </is>
      </c>
      <c r="H106" s="59" t="inlineStr">
        <is>
          <t>SFD - Detached</t>
        </is>
      </c>
      <c r="I106" s="59" t="inlineStr">
        <is>
          <t>closed</t>
        </is>
      </c>
      <c r="J106" s="63" t="n">
        <v>40707</v>
      </c>
      <c r="K106" s="63" t="n">
        <v>40710</v>
      </c>
      <c r="L106" s="63" t="n">
        <v>45889</v>
      </c>
      <c r="M106" s="70" t="n">
        <v>5000</v>
      </c>
      <c r="N106" s="59" t="n"/>
      <c r="O106" s="64" t="n"/>
      <c r="P106" s="59" t="n"/>
      <c r="Q106" s="65" t="inlineStr">
        <is>
          <t>To replace existing wood deck at rear with a new concrete porch.</t>
        </is>
      </c>
      <c r="R106" s="61" t="inlineStr">
        <is>
          <t>Map</t>
        </is>
      </c>
      <c r="S106" s="61" t="inlineStr">
        <is>
          <t>Raw data</t>
        </is>
      </c>
    </row>
    <row r="107" ht="55" customHeight="1">
      <c r="A107" s="59" t="inlineStr">
        <is>
          <t>32 Ardmore Rd</t>
        </is>
      </c>
      <c r="B107" s="60" t="n">
        <v>182</v>
      </c>
      <c r="C107" s="59" t="inlineStr">
        <is>
          <t>32 Hawarden Cres</t>
        </is>
      </c>
      <c r="D107" s="59" t="inlineStr">
        <is>
          <t>17 198396</t>
        </is>
      </c>
      <c r="E107" s="61" t="inlineStr">
        <is>
          <t>Building records request</t>
        </is>
      </c>
      <c r="F107" s="59" t="inlineStr">
        <is>
          <t>Addition or alteration</t>
        </is>
      </c>
      <c r="G107" s="59" t="inlineStr">
        <is>
          <t>Mechanical(MS); Plumbing(PS); Small Residential Projects; Drain and Site Service</t>
        </is>
      </c>
      <c r="H107" s="59" t="inlineStr">
        <is>
          <t>SFD - Detached</t>
        </is>
      </c>
      <c r="I107" s="59" t="inlineStr">
        <is>
          <t>closed</t>
        </is>
      </c>
      <c r="J107" s="63" t="n">
        <v>43223</v>
      </c>
      <c r="K107" s="63" t="n">
        <v>43229</v>
      </c>
      <c r="L107" s="63" t="n">
        <v>43678</v>
      </c>
      <c r="M107" s="70" t="n">
        <v>250000</v>
      </c>
      <c r="N107" s="59" t="n"/>
      <c r="O107" s="64" t="n"/>
      <c r="P107" s="59" t="n"/>
      <c r="Q107" s="65" t="inlineStr">
        <is>
          <t>Revision # 01 - For an addition above the garage, replace existing 2nd and 3rd floor joists and interior alterations to the 3rd floor.Proposal for a basement addition, interior alterations on all floors, and to underpin basement</t>
        </is>
      </c>
      <c r="R107" s="61" t="inlineStr">
        <is>
          <t>Map</t>
        </is>
      </c>
      <c r="S107" s="61" t="inlineStr">
        <is>
          <t>Raw data</t>
        </is>
      </c>
    </row>
    <row r="108" ht="16" customHeight="1">
      <c r="A108" s="59" t="inlineStr">
        <is>
          <t>32 Ardmore Rd</t>
        </is>
      </c>
      <c r="B108" s="60" t="n">
        <v>182</v>
      </c>
      <c r="C108" s="59" t="inlineStr">
        <is>
          <t>10 Silverwood Ave</t>
        </is>
      </c>
      <c r="D108" s="59" t="inlineStr">
        <is>
          <t>20 124270</t>
        </is>
      </c>
      <c r="E108" s="61" t="inlineStr">
        <is>
          <t>Building records request</t>
        </is>
      </c>
      <c r="F108" s="59" t="inlineStr">
        <is>
          <t>Other</t>
        </is>
      </c>
      <c r="G108" s="59" t="inlineStr">
        <is>
          <t>Drain and Site Service</t>
        </is>
      </c>
      <c r="H108" s="59" t="inlineStr">
        <is>
          <t>SFD - Detached</t>
        </is>
      </c>
      <c r="I108" s="59" t="inlineStr">
        <is>
          <t>closed</t>
        </is>
      </c>
      <c r="J108" s="63" t="n">
        <v>43900</v>
      </c>
      <c r="K108" s="63" t="n">
        <v>43900</v>
      </c>
      <c r="L108" s="63" t="n">
        <v>43903</v>
      </c>
      <c r="M108" s="70" t="n"/>
      <c r="N108" s="59" t="inlineStr">
        <is>
          <t>Not declared</t>
        </is>
      </c>
      <c r="O108" s="64" t="n"/>
      <c r="P108" s="59" t="n"/>
      <c r="Q108" s="65" t="inlineStr">
        <is>
          <t>Installation of backwater valve</t>
        </is>
      </c>
      <c r="R108" s="61" t="inlineStr">
        <is>
          <t>Map</t>
        </is>
      </c>
      <c r="S108" s="61" t="inlineStr">
        <is>
          <t>Raw data</t>
        </is>
      </c>
    </row>
    <row r="109" ht="55" customHeight="1">
      <c r="A109" s="59" t="inlineStr">
        <is>
          <t>32 Ardmore Rd</t>
        </is>
      </c>
      <c r="B109" s="60" t="n">
        <v>184</v>
      </c>
      <c r="C109" s="59" t="inlineStr">
        <is>
          <t>206 Rosemary Rd</t>
        </is>
      </c>
      <c r="D109" s="59" t="inlineStr">
        <is>
          <t>23 107423</t>
        </is>
      </c>
      <c r="E109" s="61" t="inlineStr">
        <is>
          <t>Building records request</t>
        </is>
      </c>
      <c r="F109" s="59" t="inlineStr">
        <is>
          <t>New building</t>
        </is>
      </c>
      <c r="G109" s="59" t="inlineStr">
        <is>
          <t>Mechanical(MS); Plumbing(PS); New Houses; Drain and Site Service</t>
        </is>
      </c>
      <c r="H109" s="59" t="inlineStr">
        <is>
          <t>SFD - Detached</t>
        </is>
      </c>
      <c r="I109" s="59" t="inlineStr">
        <is>
          <t>closed</t>
        </is>
      </c>
      <c r="J109" s="63" t="n">
        <v>44952</v>
      </c>
      <c r="K109" s="63" t="n">
        <v>44992</v>
      </c>
      <c r="L109" s="63" t="n">
        <v>45713</v>
      </c>
      <c r="M109" s="70" t="n">
        <v>1500000</v>
      </c>
      <c r="N109" s="59" t="n"/>
      <c r="O109" s="64" t="n">
        <v>1</v>
      </c>
      <c r="P109" s="59" t="n"/>
      <c r="Q109" s="65" t="inlineStr">
        <is>
          <t>Revision 01: Proposal for revison to foundation at rear of basementOriginal Permit - Construct a new 3 storey Single Family Dwelling Detached House. Existing House will be demolished. (Existing rear yard pool will be remaining on the lot).</t>
        </is>
      </c>
      <c r="R109" s="61" t="inlineStr">
        <is>
          <t>Map</t>
        </is>
      </c>
      <c r="S109" s="61" t="inlineStr">
        <is>
          <t>Raw data</t>
        </is>
      </c>
    </row>
    <row r="110" ht="16" customHeight="1">
      <c r="A110" s="59" t="inlineStr">
        <is>
          <t>32 Ardmore Rd</t>
        </is>
      </c>
      <c r="B110" s="60" t="n">
        <v>184</v>
      </c>
      <c r="C110" s="59" t="inlineStr">
        <is>
          <t>206 Rosemary Rd</t>
        </is>
      </c>
      <c r="D110" s="59" t="inlineStr">
        <is>
          <t>23 117120</t>
        </is>
      </c>
      <c r="E110" s="61" t="inlineStr">
        <is>
          <t>Building records request</t>
        </is>
      </c>
      <c r="F110" s="59" t="inlineStr">
        <is>
          <t>Demolition</t>
        </is>
      </c>
      <c r="G110" s="59" t="inlineStr">
        <is>
          <t>Demolition Folder (DM)</t>
        </is>
      </c>
      <c r="H110" s="59" t="inlineStr">
        <is>
          <t>SFD - Detached</t>
        </is>
      </c>
      <c r="I110" s="59" t="inlineStr">
        <is>
          <t>closed</t>
        </is>
      </c>
      <c r="J110" s="63" t="n">
        <v>44981</v>
      </c>
      <c r="K110" s="63" t="n">
        <v>45005</v>
      </c>
      <c r="L110" s="63" t="n">
        <v>45134</v>
      </c>
      <c r="M110" s="70" t="n"/>
      <c r="N110" s="59" t="inlineStr">
        <is>
          <t>Unreliable (zero or out of band)</t>
        </is>
      </c>
      <c r="O110" s="64" t="n"/>
      <c r="P110" s="59" t="n"/>
      <c r="Q110" s="65" t="inlineStr">
        <is>
          <t>Demolition of existing SFD dwelling</t>
        </is>
      </c>
      <c r="R110" s="61" t="inlineStr">
        <is>
          <t>Map</t>
        </is>
      </c>
      <c r="S110" s="61" t="inlineStr">
        <is>
          <t>Raw data</t>
        </is>
      </c>
    </row>
    <row r="111" ht="42" customHeight="1">
      <c r="A111" s="59" t="inlineStr">
        <is>
          <t>32 Ardmore Rd</t>
        </is>
      </c>
      <c r="B111" s="60" t="n">
        <v>185</v>
      </c>
      <c r="C111" s="59" t="inlineStr">
        <is>
          <t>304 Vesta Dr</t>
        </is>
      </c>
      <c r="D111" s="59" t="inlineStr">
        <is>
          <t>04 111228</t>
        </is>
      </c>
      <c r="E111" s="61" t="inlineStr">
        <is>
          <t>Building records request</t>
        </is>
      </c>
      <c r="F111" s="59" t="inlineStr">
        <is>
          <t>Addition or alteration</t>
        </is>
      </c>
      <c r="G111" s="59" t="inlineStr">
        <is>
          <t>Plumbing(PS); Small Residential Projects</t>
        </is>
      </c>
      <c r="H111" s="59" t="inlineStr">
        <is>
          <t>SFD - Detached</t>
        </is>
      </c>
      <c r="I111" s="59" t="inlineStr">
        <is>
          <t>closed</t>
        </is>
      </c>
      <c r="J111" s="63" t="n">
        <v>38041</v>
      </c>
      <c r="K111" s="63" t="n">
        <v>38058</v>
      </c>
      <c r="L111" s="63" t="n">
        <v>46132</v>
      </c>
      <c r="M111" s="70" t="n">
        <v>75000</v>
      </c>
      <c r="N111" s="59" t="n"/>
      <c r="O111" s="64" t="n"/>
      <c r="P111" s="59" t="n"/>
      <c r="Q111" s="65" t="inlineStr">
        <is>
          <t>Plumbing - fixtures- Construct ground floor rear addition &amp; make interior alterations to portions of first &amp; second floor; refer to C of A Decision. - Multiple Projects</t>
        </is>
      </c>
      <c r="R111" s="61" t="inlineStr">
        <is>
          <t>Map</t>
        </is>
      </c>
      <c r="S111" s="61" t="inlineStr">
        <is>
          <t>Raw data</t>
        </is>
      </c>
    </row>
    <row r="112" ht="29" customHeight="1">
      <c r="A112" s="59" t="inlineStr">
        <is>
          <t>32 Ardmore Rd</t>
        </is>
      </c>
      <c r="B112" s="60" t="n">
        <v>186</v>
      </c>
      <c r="C112" s="59" t="inlineStr">
        <is>
          <t>15 Elderwood Dr</t>
        </is>
      </c>
      <c r="D112" s="59" t="inlineStr">
        <is>
          <t>15 117896</t>
        </is>
      </c>
      <c r="E112" s="61" t="inlineStr">
        <is>
          <t>Building records request</t>
        </is>
      </c>
      <c r="F112" s="59" t="inlineStr">
        <is>
          <t>New building</t>
        </is>
      </c>
      <c r="G112" s="59" t="inlineStr">
        <is>
          <t>Mechanical(MS); Plumbing(PS); New Houses; Drain and Site Service</t>
        </is>
      </c>
      <c r="H112" s="59" t="inlineStr">
        <is>
          <t>SFD - Detached</t>
        </is>
      </c>
      <c r="I112" s="59" t="inlineStr">
        <is>
          <t>closed</t>
        </is>
      </c>
      <c r="J112" s="63" t="n">
        <v>42129</v>
      </c>
      <c r="K112" s="63" t="n">
        <v>42144</v>
      </c>
      <c r="L112" s="63" t="n">
        <v>43201</v>
      </c>
      <c r="M112" s="70" t="n">
        <v>500000</v>
      </c>
      <c r="N112" s="59" t="n"/>
      <c r="O112" s="64" t="n">
        <v>1</v>
      </c>
      <c r="P112" s="59" t="n"/>
      <c r="Q112" s="65" t="inlineStr">
        <is>
          <t>Plumbing - Proposal to construct a new two storey single family detached dwelling with integral garage at grade and a finished basement.</t>
        </is>
      </c>
      <c r="R112" s="61" t="inlineStr">
        <is>
          <t>Map</t>
        </is>
      </c>
      <c r="S112" s="61" t="inlineStr">
        <is>
          <t>Raw data</t>
        </is>
      </c>
    </row>
    <row r="113" ht="16" customHeight="1">
      <c r="A113" s="59" t="inlineStr">
        <is>
          <t>32 Ardmore Rd</t>
        </is>
      </c>
      <c r="B113" s="60" t="n">
        <v>186</v>
      </c>
      <c r="C113" s="59" t="inlineStr">
        <is>
          <t>15 Elderwood Dr</t>
        </is>
      </c>
      <c r="D113" s="59" t="inlineStr">
        <is>
          <t>15 117903</t>
        </is>
      </c>
      <c r="E113" s="61" t="inlineStr">
        <is>
          <t>Building records request</t>
        </is>
      </c>
      <c r="F113" s="59" t="inlineStr">
        <is>
          <t>Demolition</t>
        </is>
      </c>
      <c r="G113" s="59" t="inlineStr">
        <is>
          <t>Demolition Folder (DM)</t>
        </is>
      </c>
      <c r="H113" s="59" t="inlineStr">
        <is>
          <t>SFD - Detached</t>
        </is>
      </c>
      <c r="I113" s="59" t="inlineStr">
        <is>
          <t>closed</t>
        </is>
      </c>
      <c r="J113" s="63" t="n">
        <v>42052</v>
      </c>
      <c r="K113" s="63" t="n">
        <v>42089</v>
      </c>
      <c r="L113" s="63" t="n">
        <v>43104</v>
      </c>
      <c r="M113" s="70" t="n"/>
      <c r="N113" s="59" t="inlineStr">
        <is>
          <t>Unreliable (zero or out of band)</t>
        </is>
      </c>
      <c r="O113" s="64" t="n"/>
      <c r="P113" s="59" t="n"/>
      <c r="Q113" s="65" t="inlineStr">
        <is>
          <t>Proposal to demolish the existing 2.5 storey single family dwelling.</t>
        </is>
      </c>
      <c r="R113" s="61" t="inlineStr">
        <is>
          <t>Map</t>
        </is>
      </c>
      <c r="S113" s="61" t="inlineStr">
        <is>
          <t>Raw data</t>
        </is>
      </c>
    </row>
    <row r="114" ht="16" customHeight="1">
      <c r="A114" s="59" t="inlineStr">
        <is>
          <t>32 Ardmore Rd</t>
        </is>
      </c>
      <c r="B114" s="60" t="n">
        <v>187</v>
      </c>
      <c r="C114" s="59" t="inlineStr">
        <is>
          <t>20 Elderwood Dr</t>
        </is>
      </c>
      <c r="D114" s="59" t="inlineStr">
        <is>
          <t>18 135272</t>
        </is>
      </c>
      <c r="E114" s="61" t="inlineStr">
        <is>
          <t>Building records request</t>
        </is>
      </c>
      <c r="F114" s="59" t="inlineStr">
        <is>
          <t>Addition or alteration</t>
        </is>
      </c>
      <c r="G114" s="59" t="inlineStr">
        <is>
          <t>Small Residential Projects</t>
        </is>
      </c>
      <c r="H114" s="59" t="inlineStr">
        <is>
          <t>SFD - Detached</t>
        </is>
      </c>
      <c r="I114" s="59" t="inlineStr">
        <is>
          <t>closed</t>
        </is>
      </c>
      <c r="J114" s="63" t="n">
        <v>43186</v>
      </c>
      <c r="K114" s="63" t="n">
        <v>43187</v>
      </c>
      <c r="L114" s="63" t="n">
        <v>43187</v>
      </c>
      <c r="M114" s="70" t="n">
        <v>49000</v>
      </c>
      <c r="N114" s="59" t="n"/>
      <c r="O114" s="64" t="n"/>
      <c r="P114" s="59" t="n"/>
      <c r="Q114" s="65" t="inlineStr">
        <is>
          <t>PROPOSED: INSTALLATION OF IN-GROUND POOL &amp; FENCE ENCLOSURE</t>
        </is>
      </c>
      <c r="R114" s="61" t="inlineStr">
        <is>
          <t>Map</t>
        </is>
      </c>
      <c r="S114" s="61" t="inlineStr">
        <is>
          <t>Raw data</t>
        </is>
      </c>
    </row>
    <row r="115" ht="16" customHeight="1">
      <c r="A115" s="59" t="inlineStr">
        <is>
          <t>32 Ardmore Rd</t>
        </is>
      </c>
      <c r="B115" s="60" t="n">
        <v>187</v>
      </c>
      <c r="C115" s="59" t="inlineStr">
        <is>
          <t>20 Elderwood Dr</t>
        </is>
      </c>
      <c r="D115" s="59" t="inlineStr">
        <is>
          <t>18 160811</t>
        </is>
      </c>
      <c r="E115" s="61" t="inlineStr">
        <is>
          <t>Building records request</t>
        </is>
      </c>
      <c r="F115" s="59" t="inlineStr">
        <is>
          <t>Demolition</t>
        </is>
      </c>
      <c r="G115" s="59" t="inlineStr">
        <is>
          <t>Demolition Folder (DM)</t>
        </is>
      </c>
      <c r="H115" s="59" t="inlineStr">
        <is>
          <t>SFD - Detached</t>
        </is>
      </c>
      <c r="I115" s="59" t="inlineStr">
        <is>
          <t>closed</t>
        </is>
      </c>
      <c r="J115" s="63" t="n">
        <v>43237</v>
      </c>
      <c r="K115" s="63" t="n">
        <v>43259</v>
      </c>
      <c r="L115" s="63" t="n">
        <v>43852</v>
      </c>
      <c r="M115" s="70" t="n"/>
      <c r="N115" s="59" t="inlineStr">
        <is>
          <t>Unreliable (zero or out of band)</t>
        </is>
      </c>
      <c r="O115" s="64" t="n"/>
      <c r="P115" s="59" t="n"/>
      <c r="Q115" s="65" t="inlineStr">
        <is>
          <t>Proposal to demolish the existing 2 storey SFD-detached dwelling.</t>
        </is>
      </c>
      <c r="R115" s="61" t="inlineStr">
        <is>
          <t>Map</t>
        </is>
      </c>
      <c r="S115" s="61" t="inlineStr">
        <is>
          <t>Raw data</t>
        </is>
      </c>
    </row>
    <row r="116" ht="29" customHeight="1">
      <c r="A116" s="59" t="inlineStr">
        <is>
          <t>32 Ardmore Rd</t>
        </is>
      </c>
      <c r="B116" s="60" t="n">
        <v>187</v>
      </c>
      <c r="C116" s="59" t="inlineStr">
        <is>
          <t>20 Elderwood Dr</t>
        </is>
      </c>
      <c r="D116" s="59" t="inlineStr">
        <is>
          <t>18 160822</t>
        </is>
      </c>
      <c r="E116" s="61" t="inlineStr">
        <is>
          <t>Building records request</t>
        </is>
      </c>
      <c r="F116" s="59" t="inlineStr">
        <is>
          <t>New building</t>
        </is>
      </c>
      <c r="G116" s="59" t="inlineStr">
        <is>
          <t>Mechanical(MS); Plumbing(PS); New Houses; Drain and Site Service</t>
        </is>
      </c>
      <c r="H116" s="59" t="inlineStr">
        <is>
          <t>SFD - Detached</t>
        </is>
      </c>
      <c r="I116" s="59" t="inlineStr">
        <is>
          <t>closed</t>
        </is>
      </c>
      <c r="J116" s="63" t="n">
        <v>43503</v>
      </c>
      <c r="K116" s="63" t="n">
        <v>43523</v>
      </c>
      <c r="L116" s="63" t="n">
        <v>43965</v>
      </c>
      <c r="M116" s="70" t="n">
        <v>1150000</v>
      </c>
      <c r="N116" s="59" t="n"/>
      <c r="O116" s="64" t="n">
        <v>1</v>
      </c>
      <c r="P116" s="59" t="n"/>
      <c r="Q116" s="65" t="inlineStr">
        <is>
          <t>Plumbing - Proposal to construct a new 2 storey SFD-detached dwelling. See also 18 160811 DEM, 17 215901 ZZC, 17 131221 TLAB.</t>
        </is>
      </c>
      <c r="R116" s="61" t="inlineStr">
        <is>
          <t>Map</t>
        </is>
      </c>
      <c r="S116" s="61" t="inlineStr">
        <is>
          <t>Raw data</t>
        </is>
      </c>
    </row>
    <row r="117" ht="16" customHeight="1">
      <c r="A117" s="59" t="inlineStr">
        <is>
          <t>32 Ardmore Rd</t>
        </is>
      </c>
      <c r="B117" s="60" t="n">
        <v>189</v>
      </c>
      <c r="C117" s="59" t="inlineStr">
        <is>
          <t>101 Vesta Dr</t>
        </is>
      </c>
      <c r="D117" s="59" t="inlineStr">
        <is>
          <t>05 120279</t>
        </is>
      </c>
      <c r="E117" s="61" t="inlineStr">
        <is>
          <t>Building records request</t>
        </is>
      </c>
      <c r="F117" s="59" t="inlineStr">
        <is>
          <t>Addition or alteration</t>
        </is>
      </c>
      <c r="G117" s="59" t="inlineStr">
        <is>
          <t>Small Residential Projects</t>
        </is>
      </c>
      <c r="H117" s="59" t="inlineStr">
        <is>
          <t>SFD - Detached</t>
        </is>
      </c>
      <c r="I117" s="59" t="inlineStr">
        <is>
          <t>closed</t>
        </is>
      </c>
      <c r="J117" s="63" t="n">
        <v>38447</v>
      </c>
      <c r="K117" s="63" t="n">
        <v>38447</v>
      </c>
      <c r="L117" s="63" t="n">
        <v>46041</v>
      </c>
      <c r="M117" s="70" t="n">
        <v>12000</v>
      </c>
      <c r="N117" s="59" t="n"/>
      <c r="O117" s="64" t="n"/>
      <c r="P117" s="59" t="n"/>
      <c r="Q117" s="65" t="inlineStr">
        <is>
          <t>Extension to existing attached garage at front of dwelling.</t>
        </is>
      </c>
      <c r="R117" s="61" t="inlineStr">
        <is>
          <t>Map</t>
        </is>
      </c>
      <c r="S117" s="61" t="inlineStr">
        <is>
          <t>Raw data</t>
        </is>
      </c>
    </row>
    <row r="118" ht="29" customHeight="1">
      <c r="A118" s="59" t="inlineStr">
        <is>
          <t>32 Ardmore Rd</t>
        </is>
      </c>
      <c r="B118" s="60" t="n">
        <v>191</v>
      </c>
      <c r="C118" s="59" t="inlineStr">
        <is>
          <t>30 Burton Rd</t>
        </is>
      </c>
      <c r="D118" s="59" t="inlineStr">
        <is>
          <t>04 121866</t>
        </is>
      </c>
      <c r="E118" s="61" t="inlineStr">
        <is>
          <t>Building records request</t>
        </is>
      </c>
      <c r="F118" s="59" t="inlineStr">
        <is>
          <t>Addition or alteration</t>
        </is>
      </c>
      <c r="G118" s="59" t="inlineStr">
        <is>
          <t>Small Residential Projects</t>
        </is>
      </c>
      <c r="H118" s="59" t="inlineStr">
        <is>
          <t>SFD - Detached</t>
        </is>
      </c>
      <c r="I118" s="59" t="inlineStr">
        <is>
          <t>under inspection</t>
        </is>
      </c>
      <c r="J118" s="63" t="n">
        <v>38078</v>
      </c>
      <c r="K118" s="63" t="n">
        <v>38132</v>
      </c>
      <c r="L118" s="63" t="n"/>
      <c r="M118" s="70" t="n">
        <v>250000</v>
      </c>
      <c r="N118" s="59" t="n"/>
      <c r="O118" s="64" t="n"/>
      <c r="P118" s="59" t="n"/>
      <c r="Q118" s="65" t="inlineStr">
        <is>
          <t>Make alterations and construct deck on North side.C. of A. Final &amp; Binding</t>
        </is>
      </c>
      <c r="R118" s="61" t="inlineStr">
        <is>
          <t>Map</t>
        </is>
      </c>
      <c r="S118" s="61" t="inlineStr">
        <is>
          <t>Raw data</t>
        </is>
      </c>
    </row>
    <row r="119" ht="55" customHeight="1">
      <c r="A119" s="59" t="inlineStr">
        <is>
          <t>32 Ardmore Rd</t>
        </is>
      </c>
      <c r="B119" s="60" t="n">
        <v>194</v>
      </c>
      <c r="C119" s="59" t="inlineStr">
        <is>
          <t>300 Glenayr Rd</t>
        </is>
      </c>
      <c r="D119" s="59" t="inlineStr">
        <is>
          <t>10 259233</t>
        </is>
      </c>
      <c r="E119" s="61" t="inlineStr">
        <is>
          <t>Building records request</t>
        </is>
      </c>
      <c r="F119" s="59" t="inlineStr">
        <is>
          <t>Addition or alteration</t>
        </is>
      </c>
      <c r="G119" s="59" t="inlineStr">
        <is>
          <t>Mechanical(MS); Small Residential Projects</t>
        </is>
      </c>
      <c r="H119" s="59" t="inlineStr">
        <is>
          <t>SFD - Detached</t>
        </is>
      </c>
      <c r="I119" s="59" t="inlineStr">
        <is>
          <t>closed</t>
        </is>
      </c>
      <c r="J119" s="63" t="n">
        <v>40638</v>
      </c>
      <c r="K119" s="63" t="n">
        <v>40688</v>
      </c>
      <c r="L119" s="63" t="n">
        <v>43256</v>
      </c>
      <c r="M119" s="70" t="n">
        <v>50000</v>
      </c>
      <c r="N119" s="59" t="n"/>
      <c r="O119" s="64" t="n"/>
      <c r="P119" s="59" t="n"/>
      <c r="Q119" s="65" t="inlineStr">
        <is>
          <t>Revision: Proposal to underpin garage foundation.Interior alterations to ground floor kitchen and attached garage. Proposed work; to alter/change existing roof structure at rear of existing single family dwelling.</t>
        </is>
      </c>
      <c r="R119" s="61" t="inlineStr">
        <is>
          <t>Map</t>
        </is>
      </c>
      <c r="S119" s="61" t="inlineStr">
        <is>
          <t>Raw data</t>
        </is>
      </c>
    </row>
    <row r="120" ht="68" customHeight="1">
      <c r="A120" s="59" t="inlineStr">
        <is>
          <t>32 Ardmore Rd</t>
        </is>
      </c>
      <c r="B120" s="60" t="n">
        <v>194</v>
      </c>
      <c r="C120" s="59" t="inlineStr">
        <is>
          <t>300 Glenayr Rd</t>
        </is>
      </c>
      <c r="D120" s="59" t="inlineStr">
        <is>
          <t>10 310149</t>
        </is>
      </c>
      <c r="E120" s="61" t="inlineStr">
        <is>
          <t>Building records request</t>
        </is>
      </c>
      <c r="F120" s="59" t="inlineStr">
        <is>
          <t>Addition or alteration</t>
        </is>
      </c>
      <c r="G120" s="59" t="inlineStr">
        <is>
          <t>Plumbing(PS); Small Residential Projects</t>
        </is>
      </c>
      <c r="H120" s="59" t="inlineStr">
        <is>
          <t>SFD - Detached</t>
        </is>
      </c>
      <c r="I120" s="59" t="inlineStr">
        <is>
          <t>closed</t>
        </is>
      </c>
      <c r="J120" s="63" t="n">
        <v>40610</v>
      </c>
      <c r="K120" s="63" t="n">
        <v>40610</v>
      </c>
      <c r="L120" s="63" t="n">
        <v>43245</v>
      </c>
      <c r="M120" s="70" t="n">
        <v>300000</v>
      </c>
      <c r="N120" s="59" t="n"/>
      <c r="O120" s="64" t="n"/>
      <c r="P120" s="59" t="n"/>
      <c r="Q120" s="65" t="inlineStr">
        <is>
          <t>Plumbing - Permit for interior alterations to second floor - second storey addition at rear, single storey addition at side and convert existing attic space to living space. - Please see 10 233683 MV and 10 233785 ZAL for PAL and C of A and open permit 10 259233 BLD for open building permit for ground floor interior alteations.</t>
        </is>
      </c>
      <c r="R120" s="61" t="inlineStr">
        <is>
          <t>Map</t>
        </is>
      </c>
      <c r="S120" s="61" t="inlineStr">
        <is>
          <t>Raw data</t>
        </is>
      </c>
    </row>
    <row r="121" ht="16" customHeight="1">
      <c r="A121" s="59" t="inlineStr">
        <is>
          <t>32 Ardmore Rd</t>
        </is>
      </c>
      <c r="B121" s="60" t="n">
        <v>196</v>
      </c>
      <c r="C121" s="59" t="inlineStr">
        <is>
          <t>212 Rosemary Rd</t>
        </is>
      </c>
      <c r="D121" s="59" t="inlineStr">
        <is>
          <t>26 152728</t>
        </is>
      </c>
      <c r="E121" s="61" t="inlineStr">
        <is>
          <t>Check permit status</t>
        </is>
      </c>
      <c r="F121" s="59" t="inlineStr">
        <is>
          <t>New building</t>
        </is>
      </c>
      <c r="G121" s="59" t="inlineStr">
        <is>
          <t>New Houses; Drain and Site Service; Plumbing(PS); Mechanical(MS)</t>
        </is>
      </c>
      <c r="H121" s="59" t="inlineStr">
        <is>
          <t>SFD - Detached</t>
        </is>
      </c>
      <c r="I121" s="59" t="inlineStr">
        <is>
          <t>under inspection</t>
        </is>
      </c>
      <c r="J121" s="63" t="n">
        <v>46142</v>
      </c>
      <c r="K121" s="63" t="n">
        <v>46191</v>
      </c>
      <c r="L121" s="63" t="n"/>
      <c r="M121" s="70" t="n">
        <v>1400000</v>
      </c>
      <c r="N121" s="59" t="n"/>
      <c r="O121" s="64" t="n">
        <v>1</v>
      </c>
      <c r="P121" s="59" t="n"/>
      <c r="Q121" s="65" t="inlineStr">
        <is>
          <t>Plumbing - PROPOSED 3 STOREY SINGLE FAMILY DWELLING</t>
        </is>
      </c>
      <c r="R121" s="61" t="inlineStr">
        <is>
          <t>Map</t>
        </is>
      </c>
      <c r="S121" s="61" t="inlineStr">
        <is>
          <t>Raw data</t>
        </is>
      </c>
    </row>
    <row r="122" ht="16" customHeight="1">
      <c r="A122" s="59" t="inlineStr">
        <is>
          <t>32 Ardmore Rd</t>
        </is>
      </c>
      <c r="B122" s="60" t="n">
        <v>196</v>
      </c>
      <c r="C122" s="59" t="inlineStr">
        <is>
          <t>212 Rosemary Rd</t>
        </is>
      </c>
      <c r="D122" s="59" t="inlineStr">
        <is>
          <t>26 152730</t>
        </is>
      </c>
      <c r="E122" s="61" t="inlineStr">
        <is>
          <t>Building records request</t>
        </is>
      </c>
      <c r="F122" s="59" t="inlineStr">
        <is>
          <t>Demolition</t>
        </is>
      </c>
      <c r="G122" s="59" t="inlineStr">
        <is>
          <t>Demolition Folder (DM)</t>
        </is>
      </c>
      <c r="H122" s="59" t="inlineStr">
        <is>
          <t>SFD - Detached</t>
        </is>
      </c>
      <c r="I122" s="59" t="inlineStr">
        <is>
          <t>closed</t>
        </is>
      </c>
      <c r="J122" s="63" t="n">
        <v>46142</v>
      </c>
      <c r="K122" s="63" t="n">
        <v>46191</v>
      </c>
      <c r="L122" s="63" t="n">
        <v>46239</v>
      </c>
      <c r="M122" s="70" t="n"/>
      <c r="N122" s="59" t="inlineStr">
        <is>
          <t>Unreliable (zero or out of band)</t>
        </is>
      </c>
      <c r="O122" s="64" t="n"/>
      <c r="P122" s="59" t="n"/>
      <c r="Q122" s="65" t="inlineStr">
        <is>
          <t>Proposal to demolish existing 2 storey dwelling.</t>
        </is>
      </c>
      <c r="R122" s="61" t="inlineStr">
        <is>
          <t>Map</t>
        </is>
      </c>
      <c r="S122" s="61" t="inlineStr">
        <is>
          <t>Raw data</t>
        </is>
      </c>
    </row>
    <row r="123" ht="29" customHeight="1">
      <c r="A123" s="59" t="inlineStr">
        <is>
          <t>32 Ardmore Rd</t>
        </is>
      </c>
      <c r="B123" s="60" t="n">
        <v>197</v>
      </c>
      <c r="C123" s="59" t="inlineStr">
        <is>
          <t>41 Hawarden Cres</t>
        </is>
      </c>
      <c r="D123" s="59" t="inlineStr">
        <is>
          <t>14 185096</t>
        </is>
      </c>
      <c r="E123" s="61" t="inlineStr">
        <is>
          <t>Building records request</t>
        </is>
      </c>
      <c r="F123" s="59" t="inlineStr">
        <is>
          <t>New building</t>
        </is>
      </c>
      <c r="G123" s="59" t="inlineStr">
        <is>
          <t>New Houses</t>
        </is>
      </c>
      <c r="H123" s="59" t="inlineStr">
        <is>
          <t>SFD - Detached</t>
        </is>
      </c>
      <c r="I123" s="59" t="inlineStr">
        <is>
          <t>closed</t>
        </is>
      </c>
      <c r="J123" s="63" t="n">
        <v>41824</v>
      </c>
      <c r="K123" s="63" t="n">
        <v>41841</v>
      </c>
      <c r="L123" s="63" t="n">
        <v>44071</v>
      </c>
      <c r="M123" s="70" t="n">
        <v>700000</v>
      </c>
      <c r="N123" s="59" t="n"/>
      <c r="O123" s="64" t="n">
        <v>1</v>
      </c>
      <c r="P123" s="59" t="n"/>
      <c r="Q123" s="65" t="inlineStr">
        <is>
          <t>Proposal to construct a new two storey single family dwelling with integral garage at grade</t>
        </is>
      </c>
      <c r="R123" s="61" t="inlineStr">
        <is>
          <t>Map</t>
        </is>
      </c>
      <c r="S123" s="61" t="inlineStr">
        <is>
          <t>Raw data</t>
        </is>
      </c>
    </row>
    <row r="124" ht="29" customHeight="1">
      <c r="A124" s="59" t="inlineStr">
        <is>
          <t>32 Ardmore Rd</t>
        </is>
      </c>
      <c r="B124" s="60" t="n">
        <v>197</v>
      </c>
      <c r="C124" s="59" t="inlineStr">
        <is>
          <t>26 Burton Rd</t>
        </is>
      </c>
      <c r="D124" s="59" t="inlineStr">
        <is>
          <t>15 250985</t>
        </is>
      </c>
      <c r="E124" s="61" t="inlineStr">
        <is>
          <t>Building records request</t>
        </is>
      </c>
      <c r="F124" s="59" t="inlineStr">
        <is>
          <t>New building</t>
        </is>
      </c>
      <c r="G124" s="59" t="inlineStr">
        <is>
          <t>Mechanical(MS); Plumbing(PS); New Houses; Drain and Site Service</t>
        </is>
      </c>
      <c r="H124" s="59" t="inlineStr">
        <is>
          <t>SFD - Detached</t>
        </is>
      </c>
      <c r="I124" s="59" t="inlineStr">
        <is>
          <t>closed</t>
        </is>
      </c>
      <c r="J124" s="63" t="n">
        <v>42321</v>
      </c>
      <c r="K124" s="63" t="n">
        <v>42433</v>
      </c>
      <c r="L124" s="63" t="n">
        <v>43249</v>
      </c>
      <c r="M124" s="70" t="n">
        <v>1800000</v>
      </c>
      <c r="N124" s="59" t="n"/>
      <c r="O124" s="64" t="n">
        <v>1</v>
      </c>
      <c r="P124" s="59" t="n"/>
      <c r="Q124" s="65" t="inlineStr">
        <is>
          <t>Plumbing - Construct new two storey sfd-detached (765m2) w/ three car garage.</t>
        </is>
      </c>
      <c r="R124" s="61" t="inlineStr">
        <is>
          <t>Map</t>
        </is>
      </c>
      <c r="S124" s="61" t="inlineStr">
        <is>
          <t>Raw data</t>
        </is>
      </c>
    </row>
    <row r="125" ht="68" customHeight="1">
      <c r="A125" s="59" t="inlineStr">
        <is>
          <t>32 Ardmore Rd</t>
        </is>
      </c>
      <c r="B125" s="60" t="n">
        <v>198</v>
      </c>
      <c r="C125" s="59" t="inlineStr">
        <is>
          <t>24 Burton Rd</t>
        </is>
      </c>
      <c r="D125" s="59" t="inlineStr">
        <is>
          <t>13 280838</t>
        </is>
      </c>
      <c r="E125" s="61" t="inlineStr">
        <is>
          <t>Building records request</t>
        </is>
      </c>
      <c r="F125" s="59" t="inlineStr">
        <is>
          <t>New building</t>
        </is>
      </c>
      <c r="G125" s="59" t="inlineStr">
        <is>
          <t>Plumbing(PS); New Houses</t>
        </is>
      </c>
      <c r="H125" s="59" t="inlineStr">
        <is>
          <t>SFD - Detached</t>
        </is>
      </c>
      <c r="I125" s="59" t="inlineStr">
        <is>
          <t>closed</t>
        </is>
      </c>
      <c r="J125" s="63" t="n">
        <v>41631</v>
      </c>
      <c r="K125" s="63" t="n">
        <v>41652</v>
      </c>
      <c r="L125" s="63" t="n">
        <v>42912</v>
      </c>
      <c r="M125" s="70" t="n">
        <v>750000</v>
      </c>
      <c r="N125" s="59" t="n"/>
      <c r="O125" s="64" t="n">
        <v>1</v>
      </c>
      <c r="P125" s="59" t="n"/>
      <c r="Q125" s="65" t="inlineStr">
        <is>
          <t>Plumbing - Proposal to construct a new 2 storey single family detached dwelling (451.13m2) with integral garage, finished basement (269.77m2), front porch, new deck at rear, and basement walk out at rear. See ZC file 13-217316, C of A under file #13-163539, and OMB under file #13-212347.</t>
        </is>
      </c>
      <c r="R125" s="61" t="inlineStr">
        <is>
          <t>Map</t>
        </is>
      </c>
      <c r="S125" s="61" t="inlineStr">
        <is>
          <t>Raw data</t>
        </is>
      </c>
    </row>
    <row r="126" ht="16" customHeight="1">
      <c r="A126" s="59" t="inlineStr">
        <is>
          <t>32 Ardmore Rd</t>
        </is>
      </c>
      <c r="B126" s="60" t="n">
        <v>198</v>
      </c>
      <c r="C126" s="59" t="inlineStr">
        <is>
          <t>306 Vesta Dr</t>
        </is>
      </c>
      <c r="D126" s="59" t="inlineStr">
        <is>
          <t>25 147051</t>
        </is>
      </c>
      <c r="E126" s="61" t="inlineStr">
        <is>
          <t>Building records request</t>
        </is>
      </c>
      <c r="F126" s="59" t="inlineStr">
        <is>
          <t>Addition or alteration</t>
        </is>
      </c>
      <c r="G126" s="59" t="inlineStr">
        <is>
          <t>Small Residential Projects</t>
        </is>
      </c>
      <c r="H126" s="59" t="inlineStr">
        <is>
          <t>SFD - Detached</t>
        </is>
      </c>
      <c r="I126" s="59" t="inlineStr">
        <is>
          <t>closed</t>
        </is>
      </c>
      <c r="J126" s="63" t="n">
        <v>45769</v>
      </c>
      <c r="K126" s="63" t="n">
        <v>45777</v>
      </c>
      <c r="L126" s="63" t="n">
        <v>45860</v>
      </c>
      <c r="M126" s="70" t="n">
        <v>25000</v>
      </c>
      <c r="N126" s="59" t="n"/>
      <c r="O126" s="64" t="n"/>
      <c r="P126" s="59" t="n"/>
      <c r="Q126" s="65" t="inlineStr">
        <is>
          <t>Proposed alterations to existing detach garage.</t>
        </is>
      </c>
      <c r="R126" s="61" t="inlineStr">
        <is>
          <t>Map</t>
        </is>
      </c>
      <c r="S126" s="61" t="inlineStr">
        <is>
          <t>Raw data</t>
        </is>
      </c>
    </row>
    <row r="127" ht="16" customHeight="1">
      <c r="A127" s="59" t="inlineStr">
        <is>
          <t>32 Ardmore Rd</t>
        </is>
      </c>
      <c r="B127" s="60" t="n">
        <v>199</v>
      </c>
      <c r="C127" s="59" t="inlineStr">
        <is>
          <t>30 Hawarden Cres</t>
        </is>
      </c>
      <c r="D127" s="59" t="inlineStr">
        <is>
          <t>16 148653</t>
        </is>
      </c>
      <c r="E127" s="61" t="inlineStr">
        <is>
          <t>Building records request</t>
        </is>
      </c>
      <c r="F127" s="59" t="inlineStr">
        <is>
          <t>Other</t>
        </is>
      </c>
      <c r="G127" s="59" t="inlineStr">
        <is>
          <t>Drain and Site Service</t>
        </is>
      </c>
      <c r="H127" s="59" t="inlineStr">
        <is>
          <t>SFD - Detached</t>
        </is>
      </c>
      <c r="I127" s="59" t="inlineStr">
        <is>
          <t>closed</t>
        </is>
      </c>
      <c r="J127" s="63" t="n">
        <v>42492</v>
      </c>
      <c r="K127" s="63" t="n">
        <v>42492</v>
      </c>
      <c r="L127" s="63" t="n">
        <v>44385</v>
      </c>
      <c r="M127" s="70" t="n"/>
      <c r="N127" s="59" t="inlineStr">
        <is>
          <t>Not declared</t>
        </is>
      </c>
      <c r="O127" s="64" t="n"/>
      <c r="P127" s="59" t="n"/>
      <c r="Q127" s="65" t="inlineStr">
        <is>
          <t>To install 1 Back Water Valve (Sewer only).</t>
        </is>
      </c>
      <c r="R127" s="61" t="inlineStr">
        <is>
          <t>Map</t>
        </is>
      </c>
      <c r="S127" s="61" t="inlineStr">
        <is>
          <t>Raw data</t>
        </is>
      </c>
    </row>
    <row r="128" ht="16" customHeight="1">
      <c r="A128" s="59" t="inlineStr">
        <is>
          <t>32 Ardmore Rd</t>
        </is>
      </c>
      <c r="B128" s="60" t="n">
        <v>201</v>
      </c>
      <c r="C128" s="59" t="inlineStr">
        <is>
          <t>7 Ardmore Rd</t>
        </is>
      </c>
      <c r="D128" s="59" t="inlineStr">
        <is>
          <t>16 243198</t>
        </is>
      </c>
      <c r="E128" s="61" t="inlineStr">
        <is>
          <t>Building records request</t>
        </is>
      </c>
      <c r="F128" s="59" t="inlineStr">
        <is>
          <t>Addition or alteration</t>
        </is>
      </c>
      <c r="G128" s="59" t="inlineStr">
        <is>
          <t>Plumbing(PS); Small Residential Projects</t>
        </is>
      </c>
      <c r="H128" s="59" t="inlineStr">
        <is>
          <t>SFD - Detached</t>
        </is>
      </c>
      <c r="I128" s="59" t="inlineStr">
        <is>
          <t>closed</t>
        </is>
      </c>
      <c r="J128" s="63" t="n">
        <v>42669</v>
      </c>
      <c r="K128" s="63" t="n">
        <v>42675</v>
      </c>
      <c r="L128" s="63" t="n">
        <v>44084</v>
      </c>
      <c r="M128" s="70" t="n">
        <v>150000</v>
      </c>
      <c r="N128" s="59" t="n"/>
      <c r="O128" s="64" t="n"/>
      <c r="P128" s="59" t="n"/>
      <c r="Q128" s="65" t="inlineStr">
        <is>
          <t>Plumbing - Ground floor interior renovation, new kitchen layout</t>
        </is>
      </c>
      <c r="R128" s="61" t="inlineStr">
        <is>
          <t>Map</t>
        </is>
      </c>
      <c r="S128" s="61" t="inlineStr">
        <is>
          <t>Raw data</t>
        </is>
      </c>
    </row>
    <row r="129" ht="29" customHeight="1">
      <c r="A129" s="59" t="inlineStr">
        <is>
          <t>32 Ardmore Rd</t>
        </is>
      </c>
      <c r="B129" s="60" t="n">
        <v>204</v>
      </c>
      <c r="C129" s="59" t="inlineStr">
        <is>
          <t>6 Ardmore Rd</t>
        </is>
      </c>
      <c r="D129" s="59" t="inlineStr">
        <is>
          <t>19 176550</t>
        </is>
      </c>
      <c r="E129" s="61" t="inlineStr">
        <is>
          <t>Building records request</t>
        </is>
      </c>
      <c r="F129" s="59" t="inlineStr">
        <is>
          <t>Demolition</t>
        </is>
      </c>
      <c r="G129" s="59" t="inlineStr">
        <is>
          <t>Demolition Folder (DM)</t>
        </is>
      </c>
      <c r="H129" s="59" t="inlineStr">
        <is>
          <t>SFD - Detached</t>
        </is>
      </c>
      <c r="I129" s="59" t="inlineStr">
        <is>
          <t>closed</t>
        </is>
      </c>
      <c r="J129" s="63" t="n">
        <v>43639</v>
      </c>
      <c r="K129" s="63" t="n">
        <v>43666</v>
      </c>
      <c r="L129" s="63" t="n">
        <v>43875</v>
      </c>
      <c r="M129" s="70" t="n"/>
      <c r="N129" s="59" t="inlineStr">
        <is>
          <t>Unreliable (zero or out of band)</t>
        </is>
      </c>
      <c r="O129" s="64" t="n"/>
      <c r="P129" s="59" t="n"/>
      <c r="Q129" s="65" t="inlineStr">
        <is>
          <t>Proposal to demolish the existing 2 storey dwelling to construct a new dwelling</t>
        </is>
      </c>
      <c r="R129" s="61" t="inlineStr">
        <is>
          <t>Map</t>
        </is>
      </c>
      <c r="S129" s="61" t="inlineStr">
        <is>
          <t>Raw data</t>
        </is>
      </c>
    </row>
    <row r="130" ht="29" customHeight="1">
      <c r="A130" s="59" t="inlineStr">
        <is>
          <t>32 Ardmore Rd</t>
        </is>
      </c>
      <c r="B130" s="60" t="n">
        <v>204</v>
      </c>
      <c r="C130" s="59" t="inlineStr">
        <is>
          <t>6 Ardmore Rd</t>
        </is>
      </c>
      <c r="D130" s="59" t="inlineStr">
        <is>
          <t>19 176553</t>
        </is>
      </c>
      <c r="E130" s="61" t="inlineStr">
        <is>
          <t>Building records request</t>
        </is>
      </c>
      <c r="F130" s="59" t="inlineStr">
        <is>
          <t>New building</t>
        </is>
      </c>
      <c r="G130" s="59" t="inlineStr">
        <is>
          <t>Mechanical(MS); Plumbing(PS); New Houses; Drain and Site Service</t>
        </is>
      </c>
      <c r="H130" s="59" t="inlineStr">
        <is>
          <t>SFD - Detached</t>
        </is>
      </c>
      <c r="I130" s="59" t="inlineStr">
        <is>
          <t>closed</t>
        </is>
      </c>
      <c r="J130" s="63" t="n">
        <v>43643</v>
      </c>
      <c r="K130" s="63" t="n">
        <v>43658</v>
      </c>
      <c r="L130" s="63" t="n">
        <v>45849</v>
      </c>
      <c r="M130" s="70" t="n">
        <v>500000</v>
      </c>
      <c r="N130" s="59" t="n"/>
      <c r="O130" s="64" t="n">
        <v>1</v>
      </c>
      <c r="P130" s="59" t="n"/>
      <c r="Q130" s="65" t="inlineStr">
        <is>
          <t>Plumbing - Proposal to construct a new 2 storey single family dwelling with an attached basement garage</t>
        </is>
      </c>
      <c r="R130" s="61" t="inlineStr">
        <is>
          <t>Map</t>
        </is>
      </c>
      <c r="S130" s="61" t="inlineStr">
        <is>
          <t>Raw data</t>
        </is>
      </c>
    </row>
    <row r="131" ht="42" customHeight="1">
      <c r="A131" s="59" t="inlineStr">
        <is>
          <t>32 Ardmore Rd</t>
        </is>
      </c>
      <c r="B131" s="60" t="n">
        <v>206</v>
      </c>
      <c r="C131" s="59" t="inlineStr">
        <is>
          <t>42 Burton Rd</t>
        </is>
      </c>
      <c r="D131" s="59" t="inlineStr">
        <is>
          <t>06 146749</t>
        </is>
      </c>
      <c r="E131" s="61" t="inlineStr">
        <is>
          <t>Building records request</t>
        </is>
      </c>
      <c r="F131" s="59" t="inlineStr">
        <is>
          <t>Addition or alteration</t>
        </is>
      </c>
      <c r="G131" s="59" t="inlineStr">
        <is>
          <t>Small Residential Projects</t>
        </is>
      </c>
      <c r="H131" s="59" t="inlineStr">
        <is>
          <t>SFD - Detached</t>
        </is>
      </c>
      <c r="I131" s="59" t="inlineStr">
        <is>
          <t>with a revision issued</t>
        </is>
      </c>
      <c r="J131" s="63" t="n">
        <v>39624</v>
      </c>
      <c r="K131" s="63" t="n">
        <v>39654</v>
      </c>
      <c r="L131" s="63" t="n"/>
      <c r="M131" s="70" t="n">
        <v>800000</v>
      </c>
      <c r="N131" s="59" t="n"/>
      <c r="O131" s="64" t="n"/>
      <c r="P131" s="59" t="n"/>
      <c r="Q131" s="65" t="inlineStr">
        <is>
          <t>Revision to hand constructed Roof framing. Interior alterations to an existing sfd and new 2 storey addition w/ below grade garage to south side.</t>
        </is>
      </c>
      <c r="R131" s="61" t="inlineStr">
        <is>
          <t>Map</t>
        </is>
      </c>
      <c r="S131" s="61" t="inlineStr">
        <is>
          <t>Raw data</t>
        </is>
      </c>
    </row>
    <row r="132" ht="29" customHeight="1">
      <c r="A132" s="59" t="inlineStr">
        <is>
          <t>32 Ardmore Rd</t>
        </is>
      </c>
      <c r="B132" s="60" t="n">
        <v>209</v>
      </c>
      <c r="C132" s="59" t="inlineStr">
        <is>
          <t>48 Elderwood Dr</t>
        </is>
      </c>
      <c r="D132" s="59" t="inlineStr">
        <is>
          <t>16 142119</t>
        </is>
      </c>
      <c r="E132" s="61" t="inlineStr">
        <is>
          <t>Building records request</t>
        </is>
      </c>
      <c r="F132" s="59" t="inlineStr">
        <is>
          <t>New building</t>
        </is>
      </c>
      <c r="G132" s="59" t="inlineStr">
        <is>
          <t>Mechanical(MS); Plumbing(PS); New Houses; Drain and Site Service</t>
        </is>
      </c>
      <c r="H132" s="59" t="inlineStr">
        <is>
          <t>SFD - Detached</t>
        </is>
      </c>
      <c r="I132" s="59" t="inlineStr">
        <is>
          <t>closed</t>
        </is>
      </c>
      <c r="J132" s="63" t="n">
        <v>42681</v>
      </c>
      <c r="K132" s="63" t="n">
        <v>42689</v>
      </c>
      <c r="L132" s="63" t="n">
        <v>43129</v>
      </c>
      <c r="M132" s="70" t="n">
        <v>900000</v>
      </c>
      <c r="N132" s="59" t="n"/>
      <c r="O132" s="64" t="n">
        <v>1</v>
      </c>
      <c r="P132" s="59" t="inlineStr">
        <is>
          <t>A0523/15TEY</t>
        </is>
      </c>
      <c r="Q132" s="65" t="inlineStr">
        <is>
          <t>Plumbing - Proposal to construct three-storey single family detached dwelling (165.3m2). See 15-127394 ZZC, C of A and OMB file A0523/15TEY.</t>
        </is>
      </c>
      <c r="R132" s="61" t="inlineStr">
        <is>
          <t>Map</t>
        </is>
      </c>
      <c r="S132" s="61" t="inlineStr">
        <is>
          <t>Raw data</t>
        </is>
      </c>
    </row>
    <row r="133" ht="29" customHeight="1">
      <c r="A133" s="59" t="inlineStr">
        <is>
          <t>32 Ardmore Rd</t>
        </is>
      </c>
      <c r="B133" s="60" t="n">
        <v>209</v>
      </c>
      <c r="C133" s="59" t="inlineStr">
        <is>
          <t>48 Elderwood Dr</t>
        </is>
      </c>
      <c r="D133" s="59" t="inlineStr">
        <is>
          <t>16 142395</t>
        </is>
      </c>
      <c r="E133" s="61" t="inlineStr">
        <is>
          <t>Building records request</t>
        </is>
      </c>
      <c r="F133" s="59" t="inlineStr">
        <is>
          <t>Demolition</t>
        </is>
      </c>
      <c r="G133" s="59" t="inlineStr">
        <is>
          <t>Demolition Folder (DM)</t>
        </is>
      </c>
      <c r="H133" s="59" t="inlineStr">
        <is>
          <t>SFD - Detached</t>
        </is>
      </c>
      <c r="I133" s="59" t="inlineStr">
        <is>
          <t>closed</t>
        </is>
      </c>
      <c r="J133" s="63" t="n">
        <v>42479</v>
      </c>
      <c r="K133" s="63" t="n">
        <v>42530</v>
      </c>
      <c r="L133" s="63" t="n">
        <v>43129</v>
      </c>
      <c r="M133" s="70" t="n"/>
      <c r="N133" s="59" t="inlineStr">
        <is>
          <t>Unreliable (zero or out of band)</t>
        </is>
      </c>
      <c r="O133" s="64" t="n"/>
      <c r="P133" s="59" t="n"/>
      <c r="Q133" s="65" t="inlineStr">
        <is>
          <t>Proposal to demolish existing two-storey single family detached dwelling (146m2).</t>
        </is>
      </c>
      <c r="R133" s="61" t="inlineStr">
        <is>
          <t>Map</t>
        </is>
      </c>
      <c r="S133" s="61" t="inlineStr">
        <is>
          <t>Raw data</t>
        </is>
      </c>
    </row>
    <row r="134" ht="29" customHeight="1">
      <c r="A134" s="59" t="inlineStr">
        <is>
          <t>32 Ardmore Rd</t>
        </is>
      </c>
      <c r="B134" s="60" t="n">
        <v>211</v>
      </c>
      <c r="C134" s="59" t="inlineStr">
        <is>
          <t>20 Burton Rd</t>
        </is>
      </c>
      <c r="D134" s="59" t="inlineStr">
        <is>
          <t>02 120503</t>
        </is>
      </c>
      <c r="E134" s="61" t="inlineStr">
        <is>
          <t>Building records request</t>
        </is>
      </c>
      <c r="F134" s="59" t="inlineStr">
        <is>
          <t>New building</t>
        </is>
      </c>
      <c r="G134" s="59" t="inlineStr">
        <is>
          <t>Residential Building Permit</t>
        </is>
      </c>
      <c r="H134" s="59" t="inlineStr">
        <is>
          <t>SFD - Detached</t>
        </is>
      </c>
      <c r="I134" s="59" t="inlineStr">
        <is>
          <t>closed</t>
        </is>
      </c>
      <c r="J134" s="63" t="n">
        <v>37336</v>
      </c>
      <c r="K134" s="63" t="n">
        <v>37378</v>
      </c>
      <c r="L134" s="63" t="n">
        <v>44375</v>
      </c>
      <c r="M134" s="70" t="n">
        <v>500000</v>
      </c>
      <c r="N134" s="59" t="n"/>
      <c r="O134" s="64" t="n"/>
      <c r="P134" s="59" t="n"/>
      <c r="Q134" s="65" t="inlineStr">
        <is>
          <t>Alter plans as approved under BP: 02-120503 by relocating the building to the front of the property.. SURVEY APPROVED.</t>
        </is>
      </c>
      <c r="R134" s="61" t="inlineStr">
        <is>
          <t>Map</t>
        </is>
      </c>
      <c r="S134" s="61" t="inlineStr">
        <is>
          <t>Raw data</t>
        </is>
      </c>
    </row>
    <row r="135" ht="29" customHeight="1">
      <c r="A135" s="59" t="inlineStr">
        <is>
          <t>32 Ardmore Rd</t>
        </is>
      </c>
      <c r="B135" s="60" t="n">
        <v>211</v>
      </c>
      <c r="C135" s="59" t="inlineStr">
        <is>
          <t>218 Rosemary Rd</t>
        </is>
      </c>
      <c r="D135" s="59" t="inlineStr">
        <is>
          <t>07 256196</t>
        </is>
      </c>
      <c r="E135" s="61" t="inlineStr">
        <is>
          <t>Building records request</t>
        </is>
      </c>
      <c r="F135" s="59" t="inlineStr">
        <is>
          <t>Addition or alteration</t>
        </is>
      </c>
      <c r="G135" s="59" t="inlineStr">
        <is>
          <t>Small Residential Projects</t>
        </is>
      </c>
      <c r="H135" s="59" t="inlineStr">
        <is>
          <t>SFD - Detached</t>
        </is>
      </c>
      <c r="I135" s="59" t="inlineStr">
        <is>
          <t>closed</t>
        </is>
      </c>
      <c r="J135" s="63" t="n">
        <v>39318</v>
      </c>
      <c r="K135" s="63" t="n">
        <v>39343</v>
      </c>
      <c r="L135" s="63" t="n">
        <v>46106</v>
      </c>
      <c r="M135" s="70" t="n">
        <v>350000</v>
      </c>
      <c r="N135" s="59" t="n"/>
      <c r="O135" s="64" t="n"/>
      <c r="P135" s="59" t="n"/>
      <c r="Q135" s="65" t="inlineStr">
        <is>
          <t>Proposed rear 2-storey addition with covered porch at rear, underpin basement &amp; make interior alterations to existing SFD detached house.</t>
        </is>
      </c>
      <c r="R135" s="61" t="inlineStr">
        <is>
          <t>Map</t>
        </is>
      </c>
      <c r="S135" s="61" t="inlineStr">
        <is>
          <t>Raw data</t>
        </is>
      </c>
    </row>
    <row r="136" ht="55" customHeight="1">
      <c r="A136" s="59" t="inlineStr">
        <is>
          <t>32 Ardmore Rd</t>
        </is>
      </c>
      <c r="B136" s="60" t="n">
        <v>211</v>
      </c>
      <c r="C136" s="59" t="inlineStr">
        <is>
          <t>218 Rosemary Rd</t>
        </is>
      </c>
      <c r="D136" s="59" t="inlineStr">
        <is>
          <t>07 279568</t>
        </is>
      </c>
      <c r="E136" s="61" t="inlineStr">
        <is>
          <t>Building records request</t>
        </is>
      </c>
      <c r="F136" s="59" t="inlineStr">
        <is>
          <t>Addition or alteration</t>
        </is>
      </c>
      <c r="G136" s="59" t="inlineStr">
        <is>
          <t>Small Residential Projects</t>
        </is>
      </c>
      <c r="H136" s="59" t="inlineStr">
        <is>
          <t>SFD - Detached</t>
        </is>
      </c>
      <c r="I136" s="59" t="inlineStr">
        <is>
          <t>under inspection</t>
        </is>
      </c>
      <c r="J136" s="63" t="n">
        <v>39402</v>
      </c>
      <c r="K136" s="63" t="n">
        <v>39472</v>
      </c>
      <c r="L136" s="63" t="n"/>
      <c r="M136" s="70" t="n">
        <v>342000</v>
      </c>
      <c r="N136" s="59" t="n"/>
      <c r="O136" s="64" t="n"/>
      <c r="P136" s="59" t="n"/>
      <c r="Q136" s="65" t="inlineStr">
        <is>
          <t>Revision: Re-Design Roof Structure to 3rd floor addition.construct 3rd floor addition, Make alteration to basement by underpin foundation walls( excavate existing crawl space to create basement level and lower remainer of existing basement level. basement.</t>
        </is>
      </c>
      <c r="R136" s="61" t="inlineStr">
        <is>
          <t>Map</t>
        </is>
      </c>
      <c r="S136" s="61" t="inlineStr">
        <is>
          <t>Raw data</t>
        </is>
      </c>
    </row>
    <row r="137" ht="29" customHeight="1">
      <c r="A137" s="59" t="inlineStr">
        <is>
          <t>32 Ardmore Rd</t>
        </is>
      </c>
      <c r="B137" s="60" t="n">
        <v>211</v>
      </c>
      <c r="C137" s="59" t="inlineStr">
        <is>
          <t>6 Silverwood Ave</t>
        </is>
      </c>
      <c r="D137" s="59" t="inlineStr">
        <is>
          <t>14 203607</t>
        </is>
      </c>
      <c r="E137" s="61" t="inlineStr">
        <is>
          <t>Building records request</t>
        </is>
      </c>
      <c r="F137" s="59" t="inlineStr">
        <is>
          <t>Other</t>
        </is>
      </c>
      <c r="G137" s="59" t="inlineStr">
        <is>
          <t>Drain and Site Service</t>
        </is>
      </c>
      <c r="H137" s="59" t="inlineStr">
        <is>
          <t>SFD - Detached</t>
        </is>
      </c>
      <c r="I137" s="59" t="inlineStr">
        <is>
          <t>closed</t>
        </is>
      </c>
      <c r="J137" s="63" t="n">
        <v>41859</v>
      </c>
      <c r="K137" s="63" t="n">
        <v>41862</v>
      </c>
      <c r="L137" s="63" t="n">
        <v>44088</v>
      </c>
      <c r="M137" s="70" t="n">
        <v>18000</v>
      </c>
      <c r="N137" s="59" t="n"/>
      <c r="O137" s="64" t="n"/>
      <c r="P137" s="59" t="n"/>
      <c r="Q137" s="65" t="inlineStr">
        <is>
          <t>Proposal to replacing drains on inside and outside due to collapse of outside drains</t>
        </is>
      </c>
      <c r="R137" s="61" t="inlineStr">
        <is>
          <t>Map</t>
        </is>
      </c>
      <c r="S137" s="61" t="inlineStr">
        <is>
          <t>Raw data</t>
        </is>
      </c>
    </row>
    <row r="138" ht="55" customHeight="1">
      <c r="A138" s="59" t="inlineStr">
        <is>
          <t>32 Ardmore Rd</t>
        </is>
      </c>
      <c r="B138" s="60" t="n">
        <v>212</v>
      </c>
      <c r="C138" s="59" t="inlineStr">
        <is>
          <t>9 Elderwood Dr</t>
        </is>
      </c>
      <c r="D138" s="59" t="inlineStr">
        <is>
          <t>09 111060</t>
        </is>
      </c>
      <c r="E138" s="61" t="inlineStr">
        <is>
          <t>Building records request</t>
        </is>
      </c>
      <c r="F138" s="59" t="inlineStr">
        <is>
          <t>Addition or alteration</t>
        </is>
      </c>
      <c r="G138" s="59" t="inlineStr">
        <is>
          <t>Mechanical(MS); Plumbing(PS); Small Residential Projects</t>
        </is>
      </c>
      <c r="H138" s="59" t="inlineStr">
        <is>
          <t>SFD - Detached</t>
        </is>
      </c>
      <c r="I138" s="59" t="inlineStr">
        <is>
          <t>closed</t>
        </is>
      </c>
      <c r="J138" s="63" t="n">
        <v>39905</v>
      </c>
      <c r="K138" s="63" t="n">
        <v>39923</v>
      </c>
      <c r="L138" s="63" t="n">
        <v>45896</v>
      </c>
      <c r="M138" s="70" t="n">
        <v>150000</v>
      </c>
      <c r="N138" s="59" t="n"/>
      <c r="O138" s="64" t="n"/>
      <c r="P138" s="59" t="n"/>
      <c r="Q138" s="65" t="inlineStr">
        <is>
          <t>HVAC - Proposal to construct a 2 storey rear addition with basement to an existing 3 storey SFD-detached dwelling. Proposal also includes interior alterations to the second floor and the removal of the bedrooms on the third floor.See OMB decision V920196.</t>
        </is>
      </c>
      <c r="R138" s="61" t="inlineStr">
        <is>
          <t>Map</t>
        </is>
      </c>
      <c r="S138" s="61" t="inlineStr">
        <is>
          <t>Raw data</t>
        </is>
      </c>
    </row>
    <row r="139" ht="42" customHeight="1">
      <c r="A139" s="59" t="inlineStr">
        <is>
          <t>32 Ardmore Rd</t>
        </is>
      </c>
      <c r="B139" s="60" t="n">
        <v>212</v>
      </c>
      <c r="C139" s="59" t="inlineStr">
        <is>
          <t>9 Elderwood Dr</t>
        </is>
      </c>
      <c r="D139" s="59" t="inlineStr">
        <is>
          <t>09 130298</t>
        </is>
      </c>
      <c r="E139" s="61" t="inlineStr">
        <is>
          <t>Building records request</t>
        </is>
      </c>
      <c r="F139" s="59" t="inlineStr">
        <is>
          <t>Addition or alteration</t>
        </is>
      </c>
      <c r="G139" s="59" t="inlineStr">
        <is>
          <t>Mechanical(MS); Plumbing(PS); Small Residential Projects</t>
        </is>
      </c>
      <c r="H139" s="59" t="inlineStr">
        <is>
          <t>SFD - Detached</t>
        </is>
      </c>
      <c r="I139" s="59" t="inlineStr">
        <is>
          <t>closed</t>
        </is>
      </c>
      <c r="J139" s="63" t="n">
        <v>40254</v>
      </c>
      <c r="K139" s="63" t="n">
        <v>40266</v>
      </c>
      <c r="L139" s="63" t="n">
        <v>45896</v>
      </c>
      <c r="M139" s="70" t="n">
        <v>50000</v>
      </c>
      <c r="N139" s="59" t="n"/>
      <c r="O139" s="64" t="n"/>
      <c r="P139" s="59" t="n"/>
      <c r="Q139" s="65" t="inlineStr">
        <is>
          <t>Plumbing - Permit to add third floor to existing SFD detached house - to be reviewed in conjunction with 09 111060BLD. (See highlighted areas on drawings) - See 08 202787 ZPR and 08 225379 MV for PPR and Cof A</t>
        </is>
      </c>
      <c r="R139" s="61" t="inlineStr">
        <is>
          <t>Map</t>
        </is>
      </c>
      <c r="S139" s="61" t="inlineStr">
        <is>
          <t>Raw data</t>
        </is>
      </c>
    </row>
    <row r="140" ht="81" customHeight="1">
      <c r="A140" s="59" t="inlineStr">
        <is>
          <t>32 Ardmore Rd</t>
        </is>
      </c>
      <c r="B140" s="60" t="n">
        <v>213</v>
      </c>
      <c r="C140" s="59" t="inlineStr">
        <is>
          <t>34 Burton Rd</t>
        </is>
      </c>
      <c r="D140" s="59" t="inlineStr">
        <is>
          <t>14 120159</t>
        </is>
      </c>
      <c r="E140" s="61" t="inlineStr">
        <is>
          <t>Building records request</t>
        </is>
      </c>
      <c r="F140" s="59" t="inlineStr">
        <is>
          <t>New building</t>
        </is>
      </c>
      <c r="G140" s="59" t="inlineStr">
        <is>
          <t>Mechanical(MS); Plumbing(PS); New Houses; Drain and Site Service</t>
        </is>
      </c>
      <c r="H140" s="59" t="inlineStr">
        <is>
          <t>SFD - Detached</t>
        </is>
      </c>
      <c r="I140" s="59" t="inlineStr">
        <is>
          <t>closed</t>
        </is>
      </c>
      <c r="J140" s="63" t="n">
        <v>42030</v>
      </c>
      <c r="K140" s="63" t="n">
        <v>42040</v>
      </c>
      <c r="L140" s="63" t="n">
        <v>42746</v>
      </c>
      <c r="M140" s="70" t="n">
        <v>3000000</v>
      </c>
      <c r="N140" s="59" t="n"/>
      <c r="O140" s="64" t="n"/>
      <c r="P140" s="59" t="n"/>
      <c r="Q140" s="65" t="inlineStr">
        <is>
          <t>REV 03 - Revision to enlarge family room by 6.23sq.m.REV 02 - To Sub &amp; Basement plans and added indoor pool.REV 01- rear bay window, 2 storey front bay addition, minor changes to garageProposal to demolish the dwelling located at 34 Burton Road and replace with a new 2.5 storey single family residence with finished basement and attached garage on the combined lots.See also 14 120167 DM (32 Burton Road)</t>
        </is>
      </c>
      <c r="R140" s="61" t="inlineStr">
        <is>
          <t>Map</t>
        </is>
      </c>
      <c r="S140" s="61" t="inlineStr">
        <is>
          <t>Raw data</t>
        </is>
      </c>
    </row>
    <row r="141" ht="16" customHeight="1">
      <c r="A141" s="59" t="inlineStr">
        <is>
          <t>32 Ardmore Rd</t>
        </is>
      </c>
      <c r="B141" s="60" t="n">
        <v>213</v>
      </c>
      <c r="C141" s="59" t="inlineStr">
        <is>
          <t>34 Burton Rd</t>
        </is>
      </c>
      <c r="D141" s="59" t="inlineStr">
        <is>
          <t>14 120165</t>
        </is>
      </c>
      <c r="E141" s="61" t="inlineStr">
        <is>
          <t>Building records request</t>
        </is>
      </c>
      <c r="F141" s="59" t="inlineStr">
        <is>
          <t>Demolition</t>
        </is>
      </c>
      <c r="G141" s="59" t="inlineStr">
        <is>
          <t>Demolition Folder (DM)</t>
        </is>
      </c>
      <c r="H141" s="59" t="inlineStr">
        <is>
          <t>SFD - Detached</t>
        </is>
      </c>
      <c r="I141" s="59" t="inlineStr">
        <is>
          <t>closed</t>
        </is>
      </c>
      <c r="J141" s="63" t="n">
        <v>41691</v>
      </c>
      <c r="K141" s="63" t="n">
        <v>41823</v>
      </c>
      <c r="L141" s="63" t="n">
        <v>42746</v>
      </c>
      <c r="M141" s="70" t="n"/>
      <c r="N141" s="59" t="inlineStr">
        <is>
          <t>Unreliable (zero or out of band)</t>
        </is>
      </c>
      <c r="O141" s="64" t="n"/>
      <c r="P141" s="59" t="n"/>
      <c r="Q141" s="65" t="inlineStr">
        <is>
          <t>To demolish the existing two storey sfd.</t>
        </is>
      </c>
      <c r="R141" s="61" t="inlineStr">
        <is>
          <t>Map</t>
        </is>
      </c>
      <c r="S141" s="61" t="inlineStr">
        <is>
          <t>Raw data</t>
        </is>
      </c>
    </row>
    <row r="142" ht="42" customHeight="1">
      <c r="A142" s="59" t="inlineStr">
        <is>
          <t>32 Ardmore Rd</t>
        </is>
      </c>
      <c r="B142" s="60" t="n">
        <v>213</v>
      </c>
      <c r="C142" s="59" t="inlineStr">
        <is>
          <t>34 Burton Rd</t>
        </is>
      </c>
      <c r="D142" s="59" t="inlineStr">
        <is>
          <t>99 013425</t>
        </is>
      </c>
      <c r="E142" s="61" t="inlineStr">
        <is>
          <t>Building records request</t>
        </is>
      </c>
      <c r="F142" s="59" t="inlineStr">
        <is>
          <t>Addition or alteration</t>
        </is>
      </c>
      <c r="G142" s="59" t="inlineStr">
        <is>
          <t>Small Residential Projects</t>
        </is>
      </c>
      <c r="H142" s="59" t="inlineStr">
        <is>
          <t>Unknown</t>
        </is>
      </c>
      <c r="I142" s="59" t="inlineStr">
        <is>
          <t>closed</t>
        </is>
      </c>
      <c r="J142" s="63" t="n">
        <v>36208</v>
      </c>
      <c r="K142" s="63" t="n">
        <v>36276</v>
      </c>
      <c r="L142" s="63" t="n">
        <v>42751</v>
      </c>
      <c r="M142" s="70" t="n">
        <v>30000</v>
      </c>
      <c r="N142" s="59" t="n"/>
      <c r="O142" s="64" t="n"/>
      <c r="P142" s="59" t="n"/>
      <c r="Q142" s="65" t="inlineStr">
        <is>
          <t>MAKE ALTERATIONS TO CONVERT EXISTING ATTACHED GARAGE TO HABITABLE SPACE, ALSO ALTER EAST AND NORTH ELEVATIONS SEE C OF A DEC FINAL SS HOLD FOR REVOCATION OF PERMIT # 365022</t>
        </is>
      </c>
      <c r="R142" s="61" t="inlineStr">
        <is>
          <t>Map</t>
        </is>
      </c>
      <c r="S142" s="61" t="inlineStr">
        <is>
          <t>Raw data</t>
        </is>
      </c>
    </row>
    <row r="143" ht="16" customHeight="1">
      <c r="A143" s="59" t="inlineStr">
        <is>
          <t>32 Ardmore Rd</t>
        </is>
      </c>
      <c r="B143" s="60" t="n">
        <v>213</v>
      </c>
      <c r="C143" s="59" t="inlineStr">
        <is>
          <t>34 Burton Rd</t>
        </is>
      </c>
      <c r="D143" s="59" t="inlineStr">
        <is>
          <t>99 020420</t>
        </is>
      </c>
      <c r="E143" s="61" t="inlineStr">
        <is>
          <t>Building records request</t>
        </is>
      </c>
      <c r="F143" s="59" t="inlineStr">
        <is>
          <t>Addition or alteration</t>
        </is>
      </c>
      <c r="G143" s="59" t="inlineStr">
        <is>
          <t>Small Residential Projects</t>
        </is>
      </c>
      <c r="H143" s="59" t="inlineStr">
        <is>
          <t>Unknown</t>
        </is>
      </c>
      <c r="I143" s="59" t="inlineStr">
        <is>
          <t>closed</t>
        </is>
      </c>
      <c r="J143" s="63" t="n">
        <v>36391</v>
      </c>
      <c r="K143" s="63" t="n">
        <v>36431</v>
      </c>
      <c r="L143" s="63" t="n">
        <v>42751</v>
      </c>
      <c r="M143" s="70" t="n">
        <v>15000</v>
      </c>
      <c r="N143" s="59" t="n"/>
      <c r="O143" s="64" t="n"/>
      <c r="P143" s="59" t="n"/>
      <c r="Q143" s="65" t="inlineStr">
        <is>
          <t>CONSTRUCT BASEMENT GARAGE ADDITION AT REAR SEE C OF A DEC FINAL SS</t>
        </is>
      </c>
      <c r="R143" s="61" t="inlineStr">
        <is>
          <t>Map</t>
        </is>
      </c>
      <c r="S143" s="61" t="inlineStr">
        <is>
          <t>Raw data</t>
        </is>
      </c>
    </row>
    <row r="144" ht="29" customHeight="1">
      <c r="A144" s="59" t="inlineStr">
        <is>
          <t>32 Ardmore Rd</t>
        </is>
      </c>
      <c r="B144" s="60" t="n">
        <v>214</v>
      </c>
      <c r="C144" s="59" t="inlineStr">
        <is>
          <t>180 Rosemary Rd</t>
        </is>
      </c>
      <c r="D144" s="59" t="inlineStr">
        <is>
          <t>20 108665</t>
        </is>
      </c>
      <c r="E144" s="61" t="inlineStr">
        <is>
          <t>Check permit status</t>
        </is>
      </c>
      <c r="F144" s="59" t="inlineStr">
        <is>
          <t>Addition or alteration</t>
        </is>
      </c>
      <c r="G144" s="59" t="inlineStr">
        <is>
          <t>Small Residential Projects; Plumbing(PS); Drain and Site Service</t>
        </is>
      </c>
      <c r="H144" s="59" t="inlineStr">
        <is>
          <t>SFD - Detached</t>
        </is>
      </c>
      <c r="I144" s="59" t="inlineStr">
        <is>
          <t>under inspection</t>
        </is>
      </c>
      <c r="J144" s="63" t="n">
        <v>43855</v>
      </c>
      <c r="K144" s="63" t="n">
        <v>43882</v>
      </c>
      <c r="L144" s="63" t="n"/>
      <c r="M144" s="70" t="n">
        <v>150000</v>
      </c>
      <c r="N144" s="59" t="n"/>
      <c r="O144" s="64" t="n"/>
      <c r="P144" s="59" t="n"/>
      <c r="Q144" s="65" t="inlineStr">
        <is>
          <t>Plumbing - Proposal to construct a 2 storey rear addition and interior alterations to the existing single family dwelling.</t>
        </is>
      </c>
      <c r="R144" s="61" t="inlineStr">
        <is>
          <t>Map</t>
        </is>
      </c>
      <c r="S144" s="61" t="inlineStr">
        <is>
          <t>Raw data</t>
        </is>
      </c>
    </row>
    <row r="145" ht="55" customHeight="1">
      <c r="A145" s="59" t="inlineStr">
        <is>
          <t>32 Ardmore Rd</t>
        </is>
      </c>
      <c r="B145" s="60" t="n">
        <v>215</v>
      </c>
      <c r="C145" s="59" t="inlineStr">
        <is>
          <t>5 Ardmore Rd</t>
        </is>
      </c>
      <c r="D145" s="59" t="inlineStr">
        <is>
          <t>14 264303</t>
        </is>
      </c>
      <c r="E145" s="61" t="inlineStr">
        <is>
          <t>Building records request</t>
        </is>
      </c>
      <c r="F145" s="59" t="inlineStr">
        <is>
          <t>Addition or alteration</t>
        </is>
      </c>
      <c r="G145" s="59" t="inlineStr">
        <is>
          <t>Mechanical(MS); Plumbing(PS); Small Residential Projects</t>
        </is>
      </c>
      <c r="H145" s="59" t="inlineStr">
        <is>
          <t>SFD - Detached</t>
        </is>
      </c>
      <c r="I145" s="59" t="inlineStr">
        <is>
          <t>closed</t>
        </is>
      </c>
      <c r="J145" s="63" t="n">
        <v>42066</v>
      </c>
      <c r="K145" s="63" t="n">
        <v>42069</v>
      </c>
      <c r="L145" s="63" t="n">
        <v>43966</v>
      </c>
      <c r="M145" s="70" t="n">
        <v>300000</v>
      </c>
      <c r="N145" s="59" t="n"/>
      <c r="O145" s="64" t="n"/>
      <c r="P145" s="59" t="n"/>
      <c r="Q145" s="65" t="inlineStr">
        <is>
          <t>Plumbing - Proposal to carry out interior alteration to ground floor of existing detached - sfd. Scope of work to include new kitchen renovation, removal of two existing walls and installation of two new LVL beams.</t>
        </is>
      </c>
      <c r="R145" s="61" t="inlineStr">
        <is>
          <t>Map</t>
        </is>
      </c>
      <c r="S145" s="61" t="inlineStr">
        <is>
          <t>Raw data</t>
        </is>
      </c>
    </row>
    <row r="146" ht="29" customHeight="1">
      <c r="A146" s="59" t="inlineStr">
        <is>
          <t>32 Ardmore Rd</t>
        </is>
      </c>
      <c r="B146" s="60" t="n">
        <v>215</v>
      </c>
      <c r="C146" s="59" t="inlineStr">
        <is>
          <t>5 Ardmore Rd</t>
        </is>
      </c>
      <c r="D146" s="59" t="inlineStr">
        <is>
          <t>24 201726</t>
        </is>
      </c>
      <c r="E146" s="61" t="inlineStr">
        <is>
          <t>Check permit status</t>
        </is>
      </c>
      <c r="F146" s="59" t="inlineStr">
        <is>
          <t>Addition or alteration</t>
        </is>
      </c>
      <c r="G146" s="59" t="inlineStr">
        <is>
          <t>Small Residential Projects</t>
        </is>
      </c>
      <c r="H146" s="59" t="inlineStr">
        <is>
          <t>SFD - Detached</t>
        </is>
      </c>
      <c r="I146" s="59" t="inlineStr">
        <is>
          <t>under inspection</t>
        </is>
      </c>
      <c r="J146" s="63" t="n">
        <v>45525</v>
      </c>
      <c r="K146" s="63" t="n">
        <v>45547</v>
      </c>
      <c r="L146" s="63" t="n"/>
      <c r="M146" s="70" t="n">
        <v>24000</v>
      </c>
      <c r="N146" s="59" t="n"/>
      <c r="O146" s="64" t="n"/>
      <c r="P146" s="59" t="n"/>
      <c r="Q146" s="65" t="inlineStr">
        <is>
          <t>Enlarge eixisting two opening at the rear, one on the second floor the other on the ground floor.</t>
        </is>
      </c>
      <c r="R146" s="61" t="inlineStr">
        <is>
          <t>Map</t>
        </is>
      </c>
      <c r="S146" s="61" t="inlineStr">
        <is>
          <t>Raw data</t>
        </is>
      </c>
    </row>
    <row r="147" ht="29" customHeight="1">
      <c r="A147" s="59" t="inlineStr">
        <is>
          <t>32 Ardmore Rd</t>
        </is>
      </c>
      <c r="B147" s="60" t="n">
        <v>217</v>
      </c>
      <c r="C147" s="59" t="inlineStr">
        <is>
          <t>308 Vesta Dr</t>
        </is>
      </c>
      <c r="D147" s="59" t="inlineStr">
        <is>
          <t>15 188020</t>
        </is>
      </c>
      <c r="E147" s="61" t="inlineStr">
        <is>
          <t>Building records request</t>
        </is>
      </c>
      <c r="F147" s="59" t="inlineStr">
        <is>
          <t>New building</t>
        </is>
      </c>
      <c r="G147" s="59" t="inlineStr">
        <is>
          <t>Mechanical(MS); Plumbing(PS); New Houses; Demolition Folder (DM); Drain and Site Service</t>
        </is>
      </c>
      <c r="H147" s="59" t="inlineStr">
        <is>
          <t>SFD - Detached</t>
        </is>
      </c>
      <c r="I147" s="59" t="inlineStr">
        <is>
          <t>closed</t>
        </is>
      </c>
      <c r="J147" s="63" t="n">
        <v>42388</v>
      </c>
      <c r="K147" s="63" t="n">
        <v>42401</v>
      </c>
      <c r="L147" s="63" t="n">
        <v>43068</v>
      </c>
      <c r="M147" s="70" t="n">
        <v>500000</v>
      </c>
      <c r="N147" s="59" t="n"/>
      <c r="O147" s="64" t="n">
        <v>1</v>
      </c>
      <c r="P147" s="59" t="n"/>
      <c r="Q147" s="65" t="inlineStr">
        <is>
          <t>Plumbing - Proposal to construct a new 2-storey dwelling with integral garage and finished basement.</t>
        </is>
      </c>
      <c r="R147" s="61" t="inlineStr">
        <is>
          <t>Map</t>
        </is>
      </c>
      <c r="S147" s="61" t="inlineStr">
        <is>
          <t>Raw data</t>
        </is>
      </c>
    </row>
    <row r="148" ht="42" customHeight="1">
      <c r="A148" s="59" t="inlineStr">
        <is>
          <t>32 Ardmore Rd</t>
        </is>
      </c>
      <c r="B148" s="60" t="n">
        <v>218</v>
      </c>
      <c r="C148" s="59" t="inlineStr">
        <is>
          <t>220 Rosemary Rd</t>
        </is>
      </c>
      <c r="D148" s="59" t="inlineStr">
        <is>
          <t>12 136426</t>
        </is>
      </c>
      <c r="E148" s="61" t="inlineStr">
        <is>
          <t>Building records request</t>
        </is>
      </c>
      <c r="F148" s="59" t="inlineStr">
        <is>
          <t>New building</t>
        </is>
      </c>
      <c r="G148" s="59" t="inlineStr">
        <is>
          <t>New Houses</t>
        </is>
      </c>
      <c r="H148" s="59" t="inlineStr">
        <is>
          <t>SFD - Detached</t>
        </is>
      </c>
      <c r="I148" s="59" t="inlineStr">
        <is>
          <t>closed</t>
        </is>
      </c>
      <c r="J148" s="63" t="n">
        <v>40981</v>
      </c>
      <c r="K148" s="63" t="n">
        <v>41088</v>
      </c>
      <c r="L148" s="63" t="n">
        <v>43980</v>
      </c>
      <c r="M148" s="70" t="n">
        <v>500000</v>
      </c>
      <c r="N148" s="59" t="n"/>
      <c r="O148" s="64" t="n">
        <v>1</v>
      </c>
      <c r="P148" s="59" t="inlineStr">
        <is>
          <t>A0803/10TEY</t>
        </is>
      </c>
      <c r="Q148" s="65" t="inlineStr">
        <is>
          <t>Proposal to construct a new 3 storey SFD-detached dwelling.Refer to ZZC 10-245209 and COA Decision A0803/10TEY(OMB File# PL110896) and 12-213423 DEM</t>
        </is>
      </c>
      <c r="R148" s="61" t="inlineStr">
        <is>
          <t>Map</t>
        </is>
      </c>
      <c r="S148" s="61" t="inlineStr">
        <is>
          <t>Raw data</t>
        </is>
      </c>
    </row>
    <row r="149" ht="94" customHeight="1">
      <c r="A149" s="59" t="inlineStr">
        <is>
          <t>32 Ardmore Rd</t>
        </is>
      </c>
      <c r="B149" s="60" t="n">
        <v>221</v>
      </c>
      <c r="C149" s="59" t="inlineStr">
        <is>
          <t>18 Burton Rd</t>
        </is>
      </c>
      <c r="D149" s="59" t="inlineStr">
        <is>
          <t>17 162496</t>
        </is>
      </c>
      <c r="E149" s="61" t="inlineStr">
        <is>
          <t>Check permit status</t>
        </is>
      </c>
      <c r="F149" s="59" t="inlineStr">
        <is>
          <t>New building</t>
        </is>
      </c>
      <c r="G149" s="59" t="inlineStr">
        <is>
          <t>New Houses; Drain and Site Service; Plumbing(PS); Mechanical(MS)</t>
        </is>
      </c>
      <c r="H149" s="59" t="inlineStr">
        <is>
          <t>SFD - Detached</t>
        </is>
      </c>
      <c r="I149" s="59" t="inlineStr">
        <is>
          <t>under inspection</t>
        </is>
      </c>
      <c r="J149" s="63" t="n">
        <v>42873</v>
      </c>
      <c r="K149" s="63" t="n">
        <v>42978</v>
      </c>
      <c r="L149" s="63" t="n"/>
      <c r="M149" s="70" t="n">
        <v>900000</v>
      </c>
      <c r="N149" s="59" t="n"/>
      <c r="O149" s="64" t="n">
        <v>1</v>
      </c>
      <c r="P149" s="59" t="n"/>
      <c r="Q149" s="65" t="inlineStr">
        <is>
          <t>Revision 03 - Proposal for sprinklersRevision 02 PERMIT REVISION- Additional underground Botanical Garden is designed, an underground access to the new proposed area is provided, The side gables on East and West Elevations are covered..Proposal to construct new 3 storey sfd-detached with 2 level finished basement and integral garage.Refer also to Alternative Solution #17 214334 ALT 00 AS A standalone FSU is required for sprinkler design and installation.</t>
        </is>
      </c>
      <c r="R149" s="61" t="inlineStr">
        <is>
          <t>Map</t>
        </is>
      </c>
      <c r="S149" s="61" t="inlineStr">
        <is>
          <t>Raw data</t>
        </is>
      </c>
    </row>
    <row r="150" ht="16" customHeight="1">
      <c r="A150" s="59" t="inlineStr">
        <is>
          <t>32 Ardmore Rd</t>
        </is>
      </c>
      <c r="B150" s="60" t="n">
        <v>221</v>
      </c>
      <c r="C150" s="59" t="inlineStr">
        <is>
          <t>18 Burton Rd</t>
        </is>
      </c>
      <c r="D150" s="59" t="inlineStr">
        <is>
          <t>17 162616</t>
        </is>
      </c>
      <c r="E150" s="61" t="inlineStr">
        <is>
          <t>Building records request</t>
        </is>
      </c>
      <c r="F150" s="59" t="inlineStr">
        <is>
          <t>Demolition</t>
        </is>
      </c>
      <c r="G150" s="59" t="inlineStr">
        <is>
          <t>Demolition Folder (DM)</t>
        </is>
      </c>
      <c r="H150" s="59" t="inlineStr">
        <is>
          <t>SFD - Detached</t>
        </is>
      </c>
      <c r="I150" s="59" t="inlineStr">
        <is>
          <t>closed</t>
        </is>
      </c>
      <c r="J150" s="63" t="n">
        <v>42873</v>
      </c>
      <c r="K150" s="63" t="n">
        <v>42978</v>
      </c>
      <c r="L150" s="63" t="n">
        <v>43700</v>
      </c>
      <c r="M150" s="70" t="n"/>
      <c r="N150" s="59" t="inlineStr">
        <is>
          <t>Unreliable (zero or out of band)</t>
        </is>
      </c>
      <c r="O150" s="64" t="n"/>
      <c r="P150" s="59" t="n"/>
      <c r="Q150" s="65" t="inlineStr">
        <is>
          <t>Proposal to demolish the existing SFD-detached.</t>
        </is>
      </c>
      <c r="R150" s="61" t="inlineStr">
        <is>
          <t>Map</t>
        </is>
      </c>
      <c r="S150" s="61" t="inlineStr">
        <is>
          <t>Raw data</t>
        </is>
      </c>
    </row>
    <row r="151" ht="29" customHeight="1">
      <c r="A151" s="59" t="inlineStr">
        <is>
          <t>32 Ardmore Rd</t>
        </is>
      </c>
      <c r="B151" s="60" t="n">
        <v>221</v>
      </c>
      <c r="C151" s="59" t="inlineStr">
        <is>
          <t>18 Burton Rd</t>
        </is>
      </c>
      <c r="D151" s="59" t="inlineStr">
        <is>
          <t>17 214334</t>
        </is>
      </c>
      <c r="E151" s="61" t="inlineStr">
        <is>
          <t>Check permit status</t>
        </is>
      </c>
      <c r="F151" s="59" t="inlineStr">
        <is>
          <t>Other</t>
        </is>
      </c>
      <c r="G151" s="59" t="inlineStr">
        <is>
          <t>AS Alternative Solution</t>
        </is>
      </c>
      <c r="H151" s="59" t="inlineStr"/>
      <c r="I151" s="59" t="inlineStr">
        <is>
          <t>approved</t>
        </is>
      </c>
      <c r="J151" s="63" t="n">
        <v>42957</v>
      </c>
      <c r="K151" s="63" t="n"/>
      <c r="L151" s="63" t="n">
        <v>42978</v>
      </c>
      <c r="M151" s="70" t="n"/>
      <c r="N151" s="59" t="inlineStr">
        <is>
          <t>Not declared</t>
        </is>
      </c>
      <c r="O151" s="64" t="n"/>
      <c r="P151" s="59" t="n"/>
      <c r="Q151" s="65" t="inlineStr">
        <is>
          <t>Proposal for an alternative solution for the design of house with more than one level below grade. Refer to BLD 17-162496 NH.</t>
        </is>
      </c>
      <c r="R151" s="61" t="inlineStr">
        <is>
          <t>Map</t>
        </is>
      </c>
      <c r="S151" s="61" t="inlineStr">
        <is>
          <t>Raw data</t>
        </is>
      </c>
    </row>
    <row r="152" ht="29" customHeight="1">
      <c r="A152" s="59" t="inlineStr">
        <is>
          <t>32 Ardmore Rd</t>
        </is>
      </c>
      <c r="B152" s="60" t="n">
        <v>221</v>
      </c>
      <c r="C152" s="59" t="inlineStr">
        <is>
          <t>18 Burton Rd</t>
        </is>
      </c>
      <c r="D152" s="59" t="inlineStr">
        <is>
          <t>17 264150</t>
        </is>
      </c>
      <c r="E152" s="61" t="inlineStr">
        <is>
          <t>Check permit status</t>
        </is>
      </c>
      <c r="F152" s="59" t="inlineStr">
        <is>
          <t>Other</t>
        </is>
      </c>
      <c r="G152" s="59" t="inlineStr">
        <is>
          <t>Drain and Site Service</t>
        </is>
      </c>
      <c r="H152" s="59" t="inlineStr">
        <is>
          <t>SFD - Detached</t>
        </is>
      </c>
      <c r="I152" s="59" t="inlineStr">
        <is>
          <t>under inspection</t>
        </is>
      </c>
      <c r="J152" s="63" t="n">
        <v>43056</v>
      </c>
      <c r="K152" s="63" t="n">
        <v>43075</v>
      </c>
      <c r="L152" s="63" t="n"/>
      <c r="M152" s="70" t="n">
        <v>50000</v>
      </c>
      <c r="N152" s="59" t="n"/>
      <c r="O152" s="64" t="n"/>
      <c r="P152" s="59" t="n"/>
      <c r="Q152" s="65" t="inlineStr">
        <is>
          <t>Proposal to install a storm water management system in relation to 17 162496 NH.</t>
        </is>
      </c>
      <c r="R152" s="61" t="inlineStr">
        <is>
          <t>Map</t>
        </is>
      </c>
      <c r="S152" s="61" t="inlineStr">
        <is>
          <t>Raw data</t>
        </is>
      </c>
    </row>
    <row r="153" ht="29" customHeight="1">
      <c r="A153" s="59" t="inlineStr">
        <is>
          <t>32 Ardmore Rd</t>
        </is>
      </c>
      <c r="B153" s="60" t="n">
        <v>221</v>
      </c>
      <c r="C153" s="59" t="inlineStr">
        <is>
          <t>18 Burton Rd</t>
        </is>
      </c>
      <c r="D153" s="59" t="inlineStr">
        <is>
          <t>18 263690</t>
        </is>
      </c>
      <c r="E153" s="61" t="inlineStr">
        <is>
          <t>Building records request</t>
        </is>
      </c>
      <c r="F153" s="59" t="inlineStr">
        <is>
          <t>Addition or alteration</t>
        </is>
      </c>
      <c r="G153" s="59" t="inlineStr">
        <is>
          <t>Small Residential Projects</t>
        </is>
      </c>
      <c r="H153" s="59" t="inlineStr">
        <is>
          <t>SFD - Detached</t>
        </is>
      </c>
      <c r="I153" s="59" t="inlineStr">
        <is>
          <t>closed</t>
        </is>
      </c>
      <c r="J153" s="63" t="n">
        <v>43437</v>
      </c>
      <c r="K153" s="63" t="n">
        <v>43446</v>
      </c>
      <c r="L153" s="63" t="n">
        <v>43446</v>
      </c>
      <c r="M153" s="70" t="n">
        <v>5000</v>
      </c>
      <c r="N153" s="59" t="n"/>
      <c r="O153" s="64" t="n"/>
      <c r="P153" s="59" t="n"/>
      <c r="Q153" s="65" t="inlineStr">
        <is>
          <t>Proposal to install pool fence enclosure for existing single family detached dwelling.</t>
        </is>
      </c>
      <c r="R153" s="61" t="inlineStr">
        <is>
          <t>Map</t>
        </is>
      </c>
      <c r="S153" s="61" t="inlineStr">
        <is>
          <t>Raw data</t>
        </is>
      </c>
    </row>
    <row r="154" ht="55" customHeight="1">
      <c r="A154" s="59" t="inlineStr">
        <is>
          <t>32 Ardmore Rd</t>
        </is>
      </c>
      <c r="B154" s="60" t="n">
        <v>222</v>
      </c>
      <c r="C154" s="59" t="inlineStr">
        <is>
          <t>36 Burton Rd</t>
        </is>
      </c>
      <c r="D154" s="59" t="inlineStr">
        <is>
          <t>11 291658</t>
        </is>
      </c>
      <c r="E154" s="61" t="inlineStr">
        <is>
          <t>Building records request</t>
        </is>
      </c>
      <c r="F154" s="59" t="inlineStr">
        <is>
          <t>Addition or alteration</t>
        </is>
      </c>
      <c r="G154" s="59" t="inlineStr">
        <is>
          <t>Mechanical(MS); Small Residential Projects</t>
        </is>
      </c>
      <c r="H154" s="59" t="inlineStr">
        <is>
          <t>SFD - Detached</t>
        </is>
      </c>
      <c r="I154" s="59" t="inlineStr">
        <is>
          <t>closed</t>
        </is>
      </c>
      <c r="J154" s="63" t="n">
        <v>40919</v>
      </c>
      <c r="K154" s="63" t="n">
        <v>40934</v>
      </c>
      <c r="L154" s="63" t="n">
        <v>44021</v>
      </c>
      <c r="M154" s="70" t="n">
        <v>250000</v>
      </c>
      <c r="N154" s="59" t="n"/>
      <c r="O154" s="64" t="n"/>
      <c r="P154" s="59" t="n"/>
      <c r="Q154" s="65" t="inlineStr">
        <is>
          <t>HVAC - Proposal to demolish rear addition (2 sty w/ garage at grade) and construct a new two storey, a basement walkout, interior alterations to all floors, underpinning and relocate garage from rear to front of dwelling.</t>
        </is>
      </c>
      <c r="R154" s="61" t="inlineStr">
        <is>
          <t>Map</t>
        </is>
      </c>
      <c r="S154" s="61" t="inlineStr">
        <is>
          <t>Raw data</t>
        </is>
      </c>
    </row>
    <row r="155" ht="42" customHeight="1">
      <c r="A155" s="59" t="inlineStr">
        <is>
          <t>32 Ardmore Rd</t>
        </is>
      </c>
      <c r="B155" s="60" t="n">
        <v>222</v>
      </c>
      <c r="C155" s="59" t="inlineStr">
        <is>
          <t>36 Burton Rd</t>
        </is>
      </c>
      <c r="D155" s="59" t="inlineStr">
        <is>
          <t>17 117495</t>
        </is>
      </c>
      <c r="E155" s="61" t="inlineStr">
        <is>
          <t>Building records request</t>
        </is>
      </c>
      <c r="F155" s="59" t="inlineStr">
        <is>
          <t>Addition or alteration</t>
        </is>
      </c>
      <c r="G155" s="59" t="inlineStr">
        <is>
          <t>Plumbing(PS); Small Residential Projects</t>
        </is>
      </c>
      <c r="H155" s="59" t="inlineStr">
        <is>
          <t>SFD - Detached</t>
        </is>
      </c>
      <c r="I155" s="59" t="inlineStr">
        <is>
          <t>closed</t>
        </is>
      </c>
      <c r="J155" s="63" t="n">
        <v>42781</v>
      </c>
      <c r="K155" s="63" t="n">
        <v>42836</v>
      </c>
      <c r="L155" s="63" t="n">
        <v>43874</v>
      </c>
      <c r="M155" s="70" t="n">
        <v>150000</v>
      </c>
      <c r="N155" s="59" t="n"/>
      <c r="O155" s="64" t="n"/>
      <c r="P155" s="59" t="n"/>
      <c r="Q155" s="65" t="inlineStr">
        <is>
          <t>Construct 3rd floor addition, carport (cantilevered roof) over existing parking space on the rear yard, a canopy over the porch of an existing SFD Detached House. **** See C of A Decision. ****</t>
        </is>
      </c>
      <c r="R155" s="61" t="inlineStr">
        <is>
          <t>Map</t>
        </is>
      </c>
      <c r="S155" s="61" t="inlineStr">
        <is>
          <t>Raw data</t>
        </is>
      </c>
    </row>
    <row r="156" ht="16" customHeight="1">
      <c r="A156" s="59" t="inlineStr">
        <is>
          <t>32 Ardmore Rd</t>
        </is>
      </c>
      <c r="B156" s="60" t="n">
        <v>222</v>
      </c>
      <c r="C156" s="59" t="inlineStr">
        <is>
          <t>2 Ardmore Rd</t>
        </is>
      </c>
      <c r="D156" s="59" t="inlineStr">
        <is>
          <t>25 145872</t>
        </is>
      </c>
      <c r="E156" s="61" t="inlineStr">
        <is>
          <t>Building records request</t>
        </is>
      </c>
      <c r="F156" s="59" t="inlineStr">
        <is>
          <t>Addition or alteration</t>
        </is>
      </c>
      <c r="G156" s="59" t="inlineStr">
        <is>
          <t>Mechanical(MS); Plumbing(PS); Small Residential Projects; Drain and Site Service</t>
        </is>
      </c>
      <c r="H156" s="59" t="inlineStr">
        <is>
          <t>SFD - Detached</t>
        </is>
      </c>
      <c r="I156" s="59" t="inlineStr">
        <is>
          <t>closed</t>
        </is>
      </c>
      <c r="J156" s="63" t="n">
        <v>45763</v>
      </c>
      <c r="K156" s="63" t="n">
        <v>45779</v>
      </c>
      <c r="L156" s="63" t="n">
        <v>45971</v>
      </c>
      <c r="M156" s="70" t="n">
        <v>49000</v>
      </c>
      <c r="N156" s="59" t="n"/>
      <c r="O156" s="64" t="n"/>
      <c r="P156" s="59" t="n"/>
      <c r="Q156" s="65" t="inlineStr">
        <is>
          <t>Plumbing - Proposed basement alteration</t>
        </is>
      </c>
      <c r="R156" s="61" t="inlineStr">
        <is>
          <t>Map</t>
        </is>
      </c>
      <c r="S156" s="61" t="inlineStr">
        <is>
          <t>Raw data</t>
        </is>
      </c>
    </row>
    <row r="157" ht="29" customHeight="1">
      <c r="A157" s="59" t="inlineStr">
        <is>
          <t>32 Ardmore Rd</t>
        </is>
      </c>
      <c r="B157" s="60" t="n">
        <v>222</v>
      </c>
      <c r="C157" s="59" t="inlineStr">
        <is>
          <t>222 Rosemary Rd</t>
        </is>
      </c>
      <c r="D157" s="59" t="inlineStr">
        <is>
          <t>97 012639</t>
        </is>
      </c>
      <c r="E157" s="61" t="inlineStr">
        <is>
          <t>Building records request</t>
        </is>
      </c>
      <c r="F157" s="59" t="inlineStr">
        <is>
          <t>Other</t>
        </is>
      </c>
      <c r="G157" s="59" t="inlineStr">
        <is>
          <t>Residential Building Permit</t>
        </is>
      </c>
      <c r="H157" s="59" t="inlineStr">
        <is>
          <t>Unknown</t>
        </is>
      </c>
      <c r="I157" s="59" t="inlineStr">
        <is>
          <t>under inspection</t>
        </is>
      </c>
      <c r="J157" s="63" t="n">
        <v>35457</v>
      </c>
      <c r="K157" s="63" t="n">
        <v>35524</v>
      </c>
      <c r="L157" s="63" t="n"/>
      <c r="M157" s="70" t="n">
        <v>165550</v>
      </c>
      <c r="N157" s="59" t="n"/>
      <c r="O157" s="64" t="n">
        <v>1</v>
      </c>
      <c r="P157" s="59" t="n"/>
      <c r="Q157" s="65" t="inlineStr">
        <is>
          <t>BUILD DETACHED HOUSE WITH AT GRADE INTEGRAL GARAGE. SEE C OF A DEC. SEE FILE 386865 HOLD FOR SURVEY APPR. BP</t>
        </is>
      </c>
      <c r="R157" s="61" t="inlineStr">
        <is>
          <t>Map</t>
        </is>
      </c>
      <c r="S157" s="61" t="inlineStr">
        <is>
          <t>Raw data</t>
        </is>
      </c>
    </row>
    <row r="158" ht="16" customHeight="1">
      <c r="A158" s="59" t="inlineStr">
        <is>
          <t>32 Ardmore Rd</t>
        </is>
      </c>
      <c r="B158" s="60" t="n">
        <v>222</v>
      </c>
      <c r="C158" s="59" t="inlineStr">
        <is>
          <t>222 Rosemary Rd</t>
        </is>
      </c>
      <c r="D158" s="59" t="inlineStr">
        <is>
          <t>97 014782</t>
        </is>
      </c>
      <c r="E158" s="61" t="inlineStr">
        <is>
          <t>Building records request</t>
        </is>
      </c>
      <c r="F158" s="59" t="inlineStr">
        <is>
          <t>Addition or alteration</t>
        </is>
      </c>
      <c r="G158" s="59" t="inlineStr">
        <is>
          <t>Small Residential Projects</t>
        </is>
      </c>
      <c r="H158" s="59" t="inlineStr">
        <is>
          <t>Unknown</t>
        </is>
      </c>
      <c r="I158" s="59" t="inlineStr">
        <is>
          <t>under inspection</t>
        </is>
      </c>
      <c r="J158" s="63" t="n">
        <v>35521</v>
      </c>
      <c r="K158" s="63" t="n">
        <v>35534</v>
      </c>
      <c r="L158" s="63" t="n"/>
      <c r="M158" s="70" t="n">
        <v>3500</v>
      </c>
      <c r="N158" s="59" t="n"/>
      <c r="O158" s="64" t="n"/>
      <c r="P158" s="59" t="n"/>
      <c r="Q158" s="65" t="inlineStr">
        <is>
          <t>INSTALL FENCE FOR PRIVATELY OWNED OUTDOOR SWIMMING POOL. BP</t>
        </is>
      </c>
      <c r="R158" s="61" t="inlineStr">
        <is>
          <t>Map</t>
        </is>
      </c>
      <c r="S158" s="61" t="inlineStr">
        <is>
          <t>Raw data</t>
        </is>
      </c>
    </row>
    <row r="159" ht="16" customHeight="1">
      <c r="A159" s="59" t="inlineStr">
        <is>
          <t>32 Ardmore Rd</t>
        </is>
      </c>
      <c r="B159" s="60" t="n">
        <v>223</v>
      </c>
      <c r="C159" s="59" t="inlineStr">
        <is>
          <t>7 Elderwood Dr</t>
        </is>
      </c>
      <c r="D159" s="59" t="inlineStr">
        <is>
          <t>11 105901</t>
        </is>
      </c>
      <c r="E159" s="61" t="inlineStr">
        <is>
          <t>Building records request</t>
        </is>
      </c>
      <c r="F159" s="59" t="inlineStr">
        <is>
          <t>Addition or alteration</t>
        </is>
      </c>
      <c r="G159" s="59" t="inlineStr">
        <is>
          <t>Small Residential Projects</t>
        </is>
      </c>
      <c r="H159" s="59" t="inlineStr">
        <is>
          <t>SFD - Detached</t>
        </is>
      </c>
      <c r="I159" s="59" t="inlineStr">
        <is>
          <t>closed</t>
        </is>
      </c>
      <c r="J159" s="63" t="n">
        <v>40556</v>
      </c>
      <c r="K159" s="63" t="n">
        <v>40556</v>
      </c>
      <c r="L159" s="63" t="n">
        <v>44033</v>
      </c>
      <c r="M159" s="70" t="n">
        <v>100000</v>
      </c>
      <c r="N159" s="59" t="n"/>
      <c r="O159" s="64" t="n"/>
      <c r="P159" s="59" t="n"/>
      <c r="Q159" s="65" t="inlineStr">
        <is>
          <t>Proposed interior alterations to ground floor kitchen.</t>
        </is>
      </c>
      <c r="R159" s="61" t="inlineStr">
        <is>
          <t>Map</t>
        </is>
      </c>
      <c r="S159" s="61" t="inlineStr">
        <is>
          <t>Raw data</t>
        </is>
      </c>
    </row>
    <row r="160" ht="55" customHeight="1">
      <c r="A160" s="59" t="inlineStr">
        <is>
          <t>32 Ardmore Rd</t>
        </is>
      </c>
      <c r="B160" s="60" t="n">
        <v>223</v>
      </c>
      <c r="C160" s="59" t="inlineStr">
        <is>
          <t>23 Robinwood Ave</t>
        </is>
      </c>
      <c r="D160" s="59" t="inlineStr">
        <is>
          <t>19 223471</t>
        </is>
      </c>
      <c r="E160" s="61" t="inlineStr">
        <is>
          <t>Building records request</t>
        </is>
      </c>
      <c r="F160" s="59" t="inlineStr">
        <is>
          <t>Addition or alteration</t>
        </is>
      </c>
      <c r="G160" s="59" t="inlineStr">
        <is>
          <t>Mechanical(MS); Plumbing(PS); Small Residential Projects</t>
        </is>
      </c>
      <c r="H160" s="59" t="inlineStr">
        <is>
          <t>SFD - Detached</t>
        </is>
      </c>
      <c r="I160" s="59" t="inlineStr">
        <is>
          <t>closed</t>
        </is>
      </c>
      <c r="J160" s="63" t="n">
        <v>43726</v>
      </c>
      <c r="K160" s="63" t="n">
        <v>43763</v>
      </c>
      <c r="L160" s="63" t="n">
        <v>44719</v>
      </c>
      <c r="M160" s="70" t="n">
        <v>1433700</v>
      </c>
      <c r="N160" s="59" t="n"/>
      <c r="O160" s="64" t="n"/>
      <c r="P160" s="59" t="n"/>
      <c r="Q160" s="65" t="inlineStr">
        <is>
          <t>Revision 01 - interior layout changes as per bubbled areasProposal for multiple projects to an existing 2 storey SFD-detached dwelling. Scope of work includes a 2 storey rear addition, interior alterations and a rear deck.</t>
        </is>
      </c>
      <c r="R160" s="61" t="inlineStr">
        <is>
          <t>Map</t>
        </is>
      </c>
      <c r="S160" s="61" t="inlineStr">
        <is>
          <t>Raw data</t>
        </is>
      </c>
    </row>
    <row r="161" ht="42" customHeight="1">
      <c r="A161" s="59" t="inlineStr">
        <is>
          <t>32 Ardmore Rd</t>
        </is>
      </c>
      <c r="B161" s="60" t="n">
        <v>223</v>
      </c>
      <c r="C161" s="59" t="inlineStr">
        <is>
          <t>1 Silverwood Ave</t>
        </is>
      </c>
      <c r="D161" s="59" t="inlineStr">
        <is>
          <t>23 166549</t>
        </is>
      </c>
      <c r="E161" s="61" t="inlineStr">
        <is>
          <t>Check permit status</t>
        </is>
      </c>
      <c r="F161" s="59" t="inlineStr">
        <is>
          <t>Addition or alteration</t>
        </is>
      </c>
      <c r="G161" s="59" t="inlineStr">
        <is>
          <t>Small Residential Projects; Plumbing(PS); Mechanical(MS); Drain and Site Service</t>
        </is>
      </c>
      <c r="H161" s="59" t="inlineStr">
        <is>
          <t>SFD - Detached</t>
        </is>
      </c>
      <c r="I161" s="59" t="inlineStr">
        <is>
          <t>with a revision issued</t>
        </is>
      </c>
      <c r="J161" s="63" t="n">
        <v>45306</v>
      </c>
      <c r="K161" s="63" t="n">
        <v>45378</v>
      </c>
      <c r="L161" s="63" t="n">
        <v>45302</v>
      </c>
      <c r="M161" s="70" t="n">
        <v>20000</v>
      </c>
      <c r="N161" s="59" t="n"/>
      <c r="O161" s="64" t="n"/>
      <c r="P161" s="59" t="n"/>
      <c r="Q161" s="65" t="inlineStr">
        <is>
          <t>Plumbing Revision 01 - Proposal for addition (34.6m2), interior alterations (156m2), reconstruct front porch, and construct new covered deck at rear of existing single family detached dwelling.</t>
        </is>
      </c>
      <c r="R161" s="61" t="inlineStr">
        <is>
          <t>Map</t>
        </is>
      </c>
      <c r="S161" s="61" t="inlineStr">
        <is>
          <t>Raw data</t>
        </is>
      </c>
    </row>
    <row r="162" ht="29" customHeight="1">
      <c r="A162" s="59" t="inlineStr">
        <is>
          <t>32 Ardmore Rd</t>
        </is>
      </c>
      <c r="B162" s="60" t="n">
        <v>227</v>
      </c>
      <c r="C162" s="59" t="inlineStr">
        <is>
          <t>21 Robinwood Ave</t>
        </is>
      </c>
      <c r="D162" s="59" t="inlineStr">
        <is>
          <t>05 182014</t>
        </is>
      </c>
      <c r="E162" s="61" t="inlineStr">
        <is>
          <t>Building records request</t>
        </is>
      </c>
      <c r="F162" s="59" t="inlineStr">
        <is>
          <t>Addition or alteration</t>
        </is>
      </c>
      <c r="G162" s="59" t="inlineStr">
        <is>
          <t>Plumbing(PS); Small Residential Projects</t>
        </is>
      </c>
      <c r="H162" s="59" t="inlineStr">
        <is>
          <t>SFD - Detached</t>
        </is>
      </c>
      <c r="I162" s="59" t="inlineStr">
        <is>
          <t>closed</t>
        </is>
      </c>
      <c r="J162" s="63" t="n">
        <v>38615</v>
      </c>
      <c r="K162" s="63" t="n">
        <v>38615</v>
      </c>
      <c r="L162" s="63" t="n">
        <v>44251</v>
      </c>
      <c r="M162" s="70" t="n">
        <v>40000</v>
      </c>
      <c r="N162" s="59" t="n"/>
      <c r="O162" s="64" t="n"/>
      <c r="P162" s="59" t="n"/>
      <c r="Q162" s="65" t="inlineStr">
        <is>
          <t>Plumbing - To construct a addition at the rear and to make interior alterations on the ground floor and a rear deck - Multiple Projects</t>
        </is>
      </c>
      <c r="R162" s="61" t="inlineStr">
        <is>
          <t>Map</t>
        </is>
      </c>
      <c r="S162" s="61" t="inlineStr">
        <is>
          <t>Raw data</t>
        </is>
      </c>
    </row>
    <row r="163" ht="29" customHeight="1">
      <c r="A163" s="59" t="inlineStr">
        <is>
          <t>32 Ardmore Rd</t>
        </is>
      </c>
      <c r="B163" s="60" t="n">
        <v>227</v>
      </c>
      <c r="C163" s="59" t="inlineStr">
        <is>
          <t>26 Hawarden Cres</t>
        </is>
      </c>
      <c r="D163" s="59" t="inlineStr">
        <is>
          <t>07 109908</t>
        </is>
      </c>
      <c r="E163" s="61" t="inlineStr">
        <is>
          <t>Building records request</t>
        </is>
      </c>
      <c r="F163" s="59" t="inlineStr">
        <is>
          <t>Addition or alteration</t>
        </is>
      </c>
      <c r="G163" s="59" t="inlineStr">
        <is>
          <t>Mechanical(MS); Plumbing(PS); Small Residential Projects</t>
        </is>
      </c>
      <c r="H163" s="59" t="inlineStr">
        <is>
          <t>SFD - Detached</t>
        </is>
      </c>
      <c r="I163" s="59" t="inlineStr">
        <is>
          <t>closed</t>
        </is>
      </c>
      <c r="J163" s="63" t="n">
        <v>39129</v>
      </c>
      <c r="K163" s="63" t="n">
        <v>39153</v>
      </c>
      <c r="L163" s="63" t="n">
        <v>44351</v>
      </c>
      <c r="M163" s="70" t="n">
        <v>250000</v>
      </c>
      <c r="N163" s="59" t="n"/>
      <c r="O163" s="64" t="n"/>
      <c r="P163" s="59" t="n"/>
      <c r="Q163" s="65" t="inlineStr">
        <is>
          <t>revised hvac sysytem - HVAC - Proposed 2 storey rear additon and interior alterations to existing SFD-Detached.</t>
        </is>
      </c>
      <c r="R163" s="61" t="inlineStr">
        <is>
          <t>Map</t>
        </is>
      </c>
      <c r="S163" s="61" t="inlineStr">
        <is>
          <t>Raw data</t>
        </is>
      </c>
    </row>
    <row r="164" ht="29" customHeight="1">
      <c r="A164" s="59" t="inlineStr">
        <is>
          <t>32 Ardmore Rd</t>
        </is>
      </c>
      <c r="B164" s="60" t="n">
        <v>227</v>
      </c>
      <c r="C164" s="59" t="inlineStr">
        <is>
          <t>3 Ardmore Rd</t>
        </is>
      </c>
      <c r="D164" s="59" t="inlineStr">
        <is>
          <t>16 109315</t>
        </is>
      </c>
      <c r="E164" s="61" t="inlineStr">
        <is>
          <t>Building records request</t>
        </is>
      </c>
      <c r="F164" s="59" t="inlineStr">
        <is>
          <t>New building</t>
        </is>
      </c>
      <c r="G164" s="59" t="inlineStr">
        <is>
          <t>Mechanical(MS); Plumbing(PS); New Houses; Drain and Site Service</t>
        </is>
      </c>
      <c r="H164" s="59" t="inlineStr">
        <is>
          <t>SFD - Detached</t>
        </is>
      </c>
      <c r="I164" s="59" t="inlineStr">
        <is>
          <t>closed</t>
        </is>
      </c>
      <c r="J164" s="63" t="n">
        <v>42535</v>
      </c>
      <c r="K164" s="63" t="n">
        <v>42544</v>
      </c>
      <c r="L164" s="63" t="n">
        <v>42780</v>
      </c>
      <c r="M164" s="70" t="n">
        <v>700000</v>
      </c>
      <c r="N164" s="59" t="n"/>
      <c r="O164" s="64" t="n">
        <v>1</v>
      </c>
      <c r="P164" s="59" t="n"/>
      <c r="Q164" s="65" t="inlineStr">
        <is>
          <t>Plumbing - To construct a two-storey detached dwelling with integral garage.</t>
        </is>
      </c>
      <c r="R164" s="61" t="inlineStr">
        <is>
          <t>Map</t>
        </is>
      </c>
      <c r="S164" s="61" t="inlineStr">
        <is>
          <t>Raw data</t>
        </is>
      </c>
    </row>
    <row r="165" ht="16" customHeight="1">
      <c r="A165" s="59" t="inlineStr">
        <is>
          <t>32 Ardmore Rd</t>
        </is>
      </c>
      <c r="B165" s="60" t="n">
        <v>227</v>
      </c>
      <c r="C165" s="59" t="inlineStr">
        <is>
          <t>21 Robinwood Ave</t>
        </is>
      </c>
      <c r="D165" s="59" t="inlineStr">
        <is>
          <t>20 116844</t>
        </is>
      </c>
      <c r="E165" s="61" t="inlineStr">
        <is>
          <t>Building records request</t>
        </is>
      </c>
      <c r="F165" s="59" t="inlineStr">
        <is>
          <t>Addition or alteration</t>
        </is>
      </c>
      <c r="G165" s="59" t="inlineStr">
        <is>
          <t>Plumbing(PS); Small Residential Projects</t>
        </is>
      </c>
      <c r="H165" s="59" t="inlineStr">
        <is>
          <t>SFD - Detached</t>
        </is>
      </c>
      <c r="I165" s="59" t="inlineStr">
        <is>
          <t>closed</t>
        </is>
      </c>
      <c r="J165" s="63" t="n">
        <v>43880</v>
      </c>
      <c r="K165" s="63" t="n">
        <v>43885</v>
      </c>
      <c r="L165" s="63" t="n">
        <v>44123</v>
      </c>
      <c r="M165" s="70" t="n">
        <v>25000</v>
      </c>
      <c r="N165" s="59" t="n"/>
      <c r="O165" s="64" t="n"/>
      <c r="P165" s="59" t="n"/>
      <c r="Q165" s="65" t="inlineStr">
        <is>
          <t>Plumbing - Proposal for interior alterations to the second floor.</t>
        </is>
      </c>
      <c r="R165" s="61" t="inlineStr">
        <is>
          <t>Map</t>
        </is>
      </c>
      <c r="S165" s="61" t="inlineStr">
        <is>
          <t>Raw data</t>
        </is>
      </c>
    </row>
    <row r="166" ht="29" customHeight="1">
      <c r="A166" s="59" t="inlineStr">
        <is>
          <t>32 Ardmore Rd</t>
        </is>
      </c>
      <c r="B166" s="60" t="n">
        <v>227</v>
      </c>
      <c r="C166" s="59" t="inlineStr">
        <is>
          <t>21 Robinwood Ave</t>
        </is>
      </c>
      <c r="D166" s="59" t="inlineStr">
        <is>
          <t>20 183711</t>
        </is>
      </c>
      <c r="E166" s="61" t="inlineStr">
        <is>
          <t>Building records request</t>
        </is>
      </c>
      <c r="F166" s="59" t="inlineStr">
        <is>
          <t>Addition or alteration</t>
        </is>
      </c>
      <c r="G166" s="59" t="inlineStr">
        <is>
          <t>Mechanical(MS); Small Residential Projects</t>
        </is>
      </c>
      <c r="H166" s="59" t="inlineStr">
        <is>
          <t>SFD - Detached</t>
        </is>
      </c>
      <c r="I166" s="59" t="inlineStr">
        <is>
          <t>closed</t>
        </is>
      </c>
      <c r="J166" s="63" t="n">
        <v>44169</v>
      </c>
      <c r="K166" s="63" t="n">
        <v>44174</v>
      </c>
      <c r="L166" s="63" t="n">
        <v>45534</v>
      </c>
      <c r="M166" s="70" t="n">
        <v>80000</v>
      </c>
      <c r="N166" s="59" t="n"/>
      <c r="O166" s="64" t="n"/>
      <c r="P166" s="59" t="n"/>
      <c r="Q166" s="65" t="inlineStr">
        <is>
          <t>Revision to HVAC - a separate system has been designed for the addition only. The existing system is to be left as is.</t>
        </is>
      </c>
      <c r="R166" s="61" t="inlineStr">
        <is>
          <t>Map</t>
        </is>
      </c>
      <c r="S166" s="61" t="inlineStr">
        <is>
          <t>Raw data</t>
        </is>
      </c>
    </row>
    <row r="167" ht="16" customHeight="1">
      <c r="A167" s="59" t="inlineStr">
        <is>
          <t>32 Ardmore Rd</t>
        </is>
      </c>
      <c r="B167" s="60" t="n">
        <v>229</v>
      </c>
      <c r="C167" s="59" t="inlineStr">
        <is>
          <t>40 Burton Rd</t>
        </is>
      </c>
      <c r="D167" s="59" t="inlineStr">
        <is>
          <t>00 333429</t>
        </is>
      </c>
      <c r="E167" s="61" t="inlineStr">
        <is>
          <t>Building records request</t>
        </is>
      </c>
      <c r="F167" s="59" t="inlineStr">
        <is>
          <t>Addition or alteration</t>
        </is>
      </c>
      <c r="G167" s="59" t="inlineStr">
        <is>
          <t>Residential Building Permit</t>
        </is>
      </c>
      <c r="H167" s="59" t="inlineStr">
        <is>
          <t>SFD - Detached</t>
        </is>
      </c>
      <c r="I167" s="59" t="inlineStr">
        <is>
          <t>closed</t>
        </is>
      </c>
      <c r="J167" s="63" t="n">
        <v>36769</v>
      </c>
      <c r="K167" s="63" t="n">
        <v>36802</v>
      </c>
      <c r="L167" s="63" t="n">
        <v>45947</v>
      </c>
      <c r="M167" s="70" t="n">
        <v>75000</v>
      </c>
      <c r="N167" s="59" t="n"/>
      <c r="O167" s="64" t="n"/>
      <c r="P167" s="59" t="n"/>
      <c r="Q167" s="65" t="inlineStr">
        <is>
          <t>PRIVATE, HANDICAPED ELEVATOR ADDITION TO EXISTING RESIDENCE</t>
        </is>
      </c>
      <c r="R167" s="61" t="inlineStr">
        <is>
          <t>Map</t>
        </is>
      </c>
      <c r="S167" s="61" t="inlineStr">
        <is>
          <t>Raw data</t>
        </is>
      </c>
    </row>
    <row r="168" ht="29" customHeight="1">
      <c r="A168" s="59" t="inlineStr">
        <is>
          <t>32 Ardmore Rd</t>
        </is>
      </c>
      <c r="B168" s="60" t="n">
        <v>229</v>
      </c>
      <c r="C168" s="59" t="inlineStr">
        <is>
          <t>40 Burton Rd</t>
        </is>
      </c>
      <c r="D168" s="59" t="inlineStr">
        <is>
          <t>06 117346</t>
        </is>
      </c>
      <c r="E168" s="61" t="inlineStr">
        <is>
          <t>Building records request</t>
        </is>
      </c>
      <c r="F168" s="59" t="inlineStr">
        <is>
          <t>Addition or alteration</t>
        </is>
      </c>
      <c r="G168" s="59" t="inlineStr">
        <is>
          <t>Mechanical(MS); Plumbing(PS); Small Residential Projects</t>
        </is>
      </c>
      <c r="H168" s="59" t="inlineStr">
        <is>
          <t>SFD - Detached</t>
        </is>
      </c>
      <c r="I168" s="59" t="inlineStr">
        <is>
          <t>closed</t>
        </is>
      </c>
      <c r="J168" s="63" t="n">
        <v>38891</v>
      </c>
      <c r="K168" s="63" t="n">
        <v>38904</v>
      </c>
      <c r="L168" s="63" t="n">
        <v>45947</v>
      </c>
      <c r="M168" s="70" t="n">
        <v>25000</v>
      </c>
      <c r="N168" s="59" t="n"/>
      <c r="O168" s="64" t="n"/>
      <c r="P168" s="59" t="n"/>
      <c r="Q168" s="65" t="inlineStr">
        <is>
          <t>Plumbing - Proposed rear 2nd storey addition over existing 1st floor to existing 3 storey house.</t>
        </is>
      </c>
      <c r="R168" s="61" t="inlineStr">
        <is>
          <t>Map</t>
        </is>
      </c>
      <c r="S168" s="61" t="inlineStr">
        <is>
          <t>Raw data</t>
        </is>
      </c>
    </row>
    <row r="169" ht="16" customHeight="1">
      <c r="A169" s="59" t="inlineStr">
        <is>
          <t>32 Ardmore Rd</t>
        </is>
      </c>
      <c r="B169" s="60" t="n">
        <v>229</v>
      </c>
      <c r="C169" s="59" t="inlineStr">
        <is>
          <t>310 Vesta Dr</t>
        </is>
      </c>
      <c r="D169" s="59" t="inlineStr">
        <is>
          <t>25 107168</t>
        </is>
      </c>
      <c r="E169" s="61" t="inlineStr">
        <is>
          <t>Check permit status</t>
        </is>
      </c>
      <c r="F169" s="59" t="inlineStr">
        <is>
          <t>Other</t>
        </is>
      </c>
      <c r="G169" s="59" t="inlineStr">
        <is>
          <t>Plumbing(PS)</t>
        </is>
      </c>
      <c r="H169" s="59" t="inlineStr">
        <is>
          <t>SFD - Detached</t>
        </is>
      </c>
      <c r="I169" s="59" t="inlineStr">
        <is>
          <t>under inspection</t>
        </is>
      </c>
      <c r="J169" s="63" t="n">
        <v>45678</v>
      </c>
      <c r="K169" s="63" t="n">
        <v>45692</v>
      </c>
      <c r="L169" s="63" t="n"/>
      <c r="M169" s="70" t="n">
        <v>400000</v>
      </c>
      <c r="N169" s="59" t="n"/>
      <c r="O169" s="64" t="n"/>
      <c r="P169" s="59" t="n"/>
      <c r="Q169" s="65" t="inlineStr">
        <is>
          <t>Proposal for change of plumbing fixture placement in primary bathroom</t>
        </is>
      </c>
      <c r="R169" s="61" t="inlineStr">
        <is>
          <t>Map</t>
        </is>
      </c>
      <c r="S169" s="61" t="inlineStr">
        <is>
          <t>Raw data</t>
        </is>
      </c>
    </row>
    <row r="170" ht="29" customHeight="1">
      <c r="A170" s="59" t="inlineStr">
        <is>
          <t>32 Ardmore Rd</t>
        </is>
      </c>
      <c r="B170" s="60" t="n">
        <v>231</v>
      </c>
      <c r="C170" s="59" t="inlineStr">
        <is>
          <t>37 Hawarden Cres</t>
        </is>
      </c>
      <c r="D170" s="59" t="inlineStr">
        <is>
          <t>16 255822</t>
        </is>
      </c>
      <c r="E170" s="61" t="inlineStr">
        <is>
          <t>Building records request</t>
        </is>
      </c>
      <c r="F170" s="59" t="inlineStr">
        <is>
          <t>Addition or alteration</t>
        </is>
      </c>
      <c r="G170" s="59" t="inlineStr">
        <is>
          <t>Mechanical(MS); Plumbing(PS); Small Residential Projects</t>
        </is>
      </c>
      <c r="H170" s="59" t="inlineStr">
        <is>
          <t>SFD - Detached</t>
        </is>
      </c>
      <c r="I170" s="59" t="inlineStr">
        <is>
          <t>closed</t>
        </is>
      </c>
      <c r="J170" s="63" t="n">
        <v>42772</v>
      </c>
      <c r="K170" s="63" t="n">
        <v>42773</v>
      </c>
      <c r="L170" s="63" t="n">
        <v>43025</v>
      </c>
      <c r="M170" s="70" t="n">
        <v>500000</v>
      </c>
      <c r="N170" s="59" t="n"/>
      <c r="O170" s="64" t="n"/>
      <c r="P170" s="59" t="n"/>
      <c r="Q170" s="65" t="inlineStr">
        <is>
          <t>Plumbing - Proposal for interior alterations to basement, ground, and 2nd floors of existing detached single family dwelling.</t>
        </is>
      </c>
      <c r="R170" s="61" t="inlineStr">
        <is>
          <t>Map</t>
        </is>
      </c>
      <c r="S170" s="61" t="inlineStr">
        <is>
          <t>Raw data</t>
        </is>
      </c>
    </row>
    <row r="171" ht="29" customHeight="1">
      <c r="A171" s="59" t="inlineStr">
        <is>
          <t>32 Ardmore Rd</t>
        </is>
      </c>
      <c r="B171" s="60" t="n">
        <v>233</v>
      </c>
      <c r="C171" s="59" t="inlineStr">
        <is>
          <t>16 Burton Rd</t>
        </is>
      </c>
      <c r="D171" s="59" t="inlineStr">
        <is>
          <t>12 116081</t>
        </is>
      </c>
      <c r="E171" s="61" t="inlineStr">
        <is>
          <t>Building records request</t>
        </is>
      </c>
      <c r="F171" s="59" t="inlineStr">
        <is>
          <t>Addition or alteration</t>
        </is>
      </c>
      <c r="G171" s="59" t="inlineStr">
        <is>
          <t>Small Residential Projects</t>
        </is>
      </c>
      <c r="H171" s="59" t="inlineStr">
        <is>
          <t>SFD - Detached</t>
        </is>
      </c>
      <c r="I171" s="59" t="inlineStr">
        <is>
          <t>closed</t>
        </is>
      </c>
      <c r="J171" s="63" t="n">
        <v>40941</v>
      </c>
      <c r="K171" s="63" t="n">
        <v>41017</v>
      </c>
      <c r="L171" s="63" t="n">
        <v>44041</v>
      </c>
      <c r="M171" s="70" t="n">
        <v>40000</v>
      </c>
      <c r="N171" s="59" t="n"/>
      <c r="O171" s="64" t="n"/>
      <c r="P171" s="59" t="n"/>
      <c r="Q171" s="65" t="inlineStr">
        <is>
          <t>Proposed front addition and new front porch. Existing single family dwelling.</t>
        </is>
      </c>
      <c r="R171" s="61" t="inlineStr">
        <is>
          <t>Map</t>
        </is>
      </c>
      <c r="S171" s="61" t="inlineStr">
        <is>
          <t>Raw data</t>
        </is>
      </c>
    </row>
    <row r="172" ht="29" customHeight="1">
      <c r="A172" s="59" t="inlineStr">
        <is>
          <t>32 Ardmore Rd</t>
        </is>
      </c>
      <c r="B172" s="60" t="n">
        <v>236</v>
      </c>
      <c r="C172" s="59" t="inlineStr">
        <is>
          <t>224 Rosemary Rd</t>
        </is>
      </c>
      <c r="D172" s="59" t="inlineStr">
        <is>
          <t>04 106596</t>
        </is>
      </c>
      <c r="E172" s="61" t="inlineStr">
        <is>
          <t>Building records request</t>
        </is>
      </c>
      <c r="F172" s="59" t="inlineStr">
        <is>
          <t>Addition or alteration</t>
        </is>
      </c>
      <c r="G172" s="59" t="inlineStr">
        <is>
          <t>Small Residential Projects</t>
        </is>
      </c>
      <c r="H172" s="59" t="inlineStr">
        <is>
          <t>SFD - Detached</t>
        </is>
      </c>
      <c r="I172" s="59" t="inlineStr">
        <is>
          <t>under inspection</t>
        </is>
      </c>
      <c r="J172" s="63" t="n">
        <v>38020</v>
      </c>
      <c r="K172" s="63" t="n">
        <v>38114</v>
      </c>
      <c r="L172" s="63" t="n"/>
      <c r="M172" s="70" t="n">
        <v>15000</v>
      </c>
      <c r="N172" s="59" t="n"/>
      <c r="O172" s="64" t="n"/>
      <c r="P172" s="59" t="n"/>
      <c r="Q172" s="65" t="inlineStr">
        <is>
          <t>Interior alterations to SFD and raise roof on existing one storey portion of house</t>
        </is>
      </c>
      <c r="R172" s="61" t="inlineStr">
        <is>
          <t>Map</t>
        </is>
      </c>
      <c r="S172" s="61" t="inlineStr">
        <is>
          <t>Raw data</t>
        </is>
      </c>
    </row>
    <row r="173" ht="16" customHeight="1">
      <c r="A173" s="59" t="inlineStr">
        <is>
          <t>32 Ardmore Rd</t>
        </is>
      </c>
      <c r="B173" s="60" t="n">
        <v>236</v>
      </c>
      <c r="C173" s="59" t="inlineStr">
        <is>
          <t>224 Rosemary Rd</t>
        </is>
      </c>
      <c r="D173" s="59" t="inlineStr">
        <is>
          <t>25 240629</t>
        </is>
      </c>
      <c r="E173" s="61" t="inlineStr">
        <is>
          <t>Building records request</t>
        </is>
      </c>
      <c r="F173" s="59" t="inlineStr">
        <is>
          <t>Addition or alteration</t>
        </is>
      </c>
      <c r="G173" s="59" t="inlineStr">
        <is>
          <t>Small Residential Projects</t>
        </is>
      </c>
      <c r="H173" s="59" t="inlineStr">
        <is>
          <t>SFD - Detached</t>
        </is>
      </c>
      <c r="I173" s="59" t="inlineStr">
        <is>
          <t>closed</t>
        </is>
      </c>
      <c r="J173" s="63" t="n">
        <v>45946</v>
      </c>
      <c r="K173" s="63" t="n">
        <v>45951</v>
      </c>
      <c r="L173" s="63" t="n">
        <v>45988</v>
      </c>
      <c r="M173" s="70" t="n">
        <v>21000</v>
      </c>
      <c r="N173" s="59" t="n"/>
      <c r="O173" s="64" t="n"/>
      <c r="P173" s="59" t="n"/>
      <c r="Q173" s="65" t="inlineStr">
        <is>
          <t>Proposal for installation of rooftop solar panels on existing SFD.</t>
        </is>
      </c>
      <c r="R173" s="61" t="inlineStr">
        <is>
          <t>Map</t>
        </is>
      </c>
      <c r="S173" s="61" t="inlineStr">
        <is>
          <t>Raw data</t>
        </is>
      </c>
    </row>
    <row r="174" ht="16" customHeight="1">
      <c r="A174" s="59" t="inlineStr">
        <is>
          <t>32 Ardmore Rd</t>
        </is>
      </c>
      <c r="B174" s="60" t="n">
        <v>237</v>
      </c>
      <c r="C174" s="59" t="inlineStr">
        <is>
          <t>17 Robinwood Ave</t>
        </is>
      </c>
      <c r="D174" s="59" t="inlineStr">
        <is>
          <t>25 185135</t>
        </is>
      </c>
      <c r="E174" s="61" t="inlineStr">
        <is>
          <t>Check permit status</t>
        </is>
      </c>
      <c r="F174" s="59" t="inlineStr">
        <is>
          <t>Other</t>
        </is>
      </c>
      <c r="G174" s="59" t="inlineStr">
        <is>
          <t>Drain and Site Service</t>
        </is>
      </c>
      <c r="H174" s="59" t="inlineStr">
        <is>
          <t>SFD - Detached</t>
        </is>
      </c>
      <c r="I174" s="59" t="inlineStr">
        <is>
          <t>issued</t>
        </is>
      </c>
      <c r="J174" s="63" t="n">
        <v>45835</v>
      </c>
      <c r="K174" s="63" t="n">
        <v>45835</v>
      </c>
      <c r="L174" s="63" t="n"/>
      <c r="M174" s="70" t="n"/>
      <c r="N174" s="59" t="inlineStr">
        <is>
          <t>Not declared</t>
        </is>
      </c>
      <c r="O174" s="64" t="n"/>
      <c r="P174" s="59" t="n"/>
      <c r="Q174" s="65" t="inlineStr">
        <is>
          <t>Proposal for drain permit</t>
        </is>
      </c>
      <c r="R174" s="61" t="inlineStr">
        <is>
          <t>Map</t>
        </is>
      </c>
      <c r="S174" s="61" t="inlineStr">
        <is>
          <t>Raw data</t>
        </is>
      </c>
    </row>
    <row r="175" ht="29" customHeight="1">
      <c r="A175" s="59" t="inlineStr">
        <is>
          <t>32 Ardmore Rd</t>
        </is>
      </c>
      <c r="B175" s="60" t="n">
        <v>237</v>
      </c>
      <c r="C175" s="59" t="inlineStr">
        <is>
          <t>17 Robinwood Ave</t>
        </is>
      </c>
      <c r="D175" s="59" t="inlineStr">
        <is>
          <t>25 201127</t>
        </is>
      </c>
      <c r="E175" s="61" t="inlineStr">
        <is>
          <t>Building records request</t>
        </is>
      </c>
      <c r="F175" s="59" t="inlineStr">
        <is>
          <t>Addition or alteration</t>
        </is>
      </c>
      <c r="G175" s="59" t="inlineStr">
        <is>
          <t>Plumbing(PS); Small Residential Projects</t>
        </is>
      </c>
      <c r="H175" s="59" t="inlineStr">
        <is>
          <t>SFD - Detached</t>
        </is>
      </c>
      <c r="I175" s="59" t="inlineStr">
        <is>
          <t>closed</t>
        </is>
      </c>
      <c r="J175" s="63" t="n">
        <v>45866</v>
      </c>
      <c r="K175" s="63" t="n">
        <v>45868</v>
      </c>
      <c r="L175" s="63" t="n">
        <v>46009</v>
      </c>
      <c r="M175" s="70" t="n">
        <v>300000</v>
      </c>
      <c r="N175" s="59" t="n"/>
      <c r="O175" s="64" t="n"/>
      <c r="P175" s="59" t="n"/>
      <c r="Q175" s="65" t="inlineStr">
        <is>
          <t>Plumbing - Proposal for interior alterations on all floors. (Basement 21.33m², Ground 48.67m², Second floor 50.67m², Third floor 12.87m²)</t>
        </is>
      </c>
      <c r="R175" s="61" t="inlineStr">
        <is>
          <t>Map</t>
        </is>
      </c>
      <c r="S175" s="61" t="inlineStr">
        <is>
          <t>Raw data</t>
        </is>
      </c>
    </row>
    <row r="176" ht="29" customHeight="1">
      <c r="A176" s="59" t="inlineStr">
        <is>
          <t>32 Ardmore Rd</t>
        </is>
      </c>
      <c r="B176" s="60" t="n">
        <v>238</v>
      </c>
      <c r="C176" s="59" t="inlineStr">
        <is>
          <t>5 Elderwood Dr</t>
        </is>
      </c>
      <c r="D176" s="59" t="inlineStr">
        <is>
          <t>07 198772</t>
        </is>
      </c>
      <c r="E176" s="61" t="inlineStr">
        <is>
          <t>Building records request</t>
        </is>
      </c>
      <c r="F176" s="59" t="inlineStr">
        <is>
          <t>Addition or alteration</t>
        </is>
      </c>
      <c r="G176" s="59" t="inlineStr">
        <is>
          <t>Small Residential Projects</t>
        </is>
      </c>
      <c r="H176" s="59" t="inlineStr">
        <is>
          <t>SFD - Detached</t>
        </is>
      </c>
      <c r="I176" s="59" t="inlineStr">
        <is>
          <t>under inspection</t>
        </is>
      </c>
      <c r="J176" s="63" t="n">
        <v>39210</v>
      </c>
      <c r="K176" s="63" t="n">
        <v>39244</v>
      </c>
      <c r="L176" s="63" t="n"/>
      <c r="M176" s="70" t="n">
        <v>500000</v>
      </c>
      <c r="N176" s="59" t="n"/>
      <c r="O176" s="64" t="n"/>
      <c r="P176" s="59" t="n"/>
      <c r="Q176" s="65" t="inlineStr">
        <is>
          <t>Proposed 2nd storey addition over existing side/rear 1 storey. Existing 2 Sty. SFD.</t>
        </is>
      </c>
      <c r="R176" s="61" t="inlineStr">
        <is>
          <t>Map</t>
        </is>
      </c>
      <c r="S176" s="61" t="inlineStr">
        <is>
          <t>Raw data</t>
        </is>
      </c>
    </row>
    <row r="177" ht="16" customHeight="1">
      <c r="A177" s="59" t="inlineStr">
        <is>
          <t>32 Ardmore Rd</t>
        </is>
      </c>
      <c r="B177" s="60" t="n">
        <v>238</v>
      </c>
      <c r="C177" s="59" t="inlineStr">
        <is>
          <t>24 Hawarden Cres</t>
        </is>
      </c>
      <c r="D177" s="59" t="inlineStr">
        <is>
          <t>20 151922</t>
        </is>
      </c>
      <c r="E177" s="61" t="inlineStr">
        <is>
          <t>Building records request</t>
        </is>
      </c>
      <c r="F177" s="59" t="inlineStr">
        <is>
          <t>Addition or alteration</t>
        </is>
      </c>
      <c r="G177" s="59" t="inlineStr">
        <is>
          <t>Plumbing(PS); Small Residential Projects</t>
        </is>
      </c>
      <c r="H177" s="59" t="inlineStr">
        <is>
          <t>2 Unit - Detached</t>
        </is>
      </c>
      <c r="I177" s="59" t="inlineStr">
        <is>
          <t>closed</t>
        </is>
      </c>
      <c r="J177" s="63" t="n">
        <v>43985</v>
      </c>
      <c r="K177" s="63" t="n">
        <v>44006</v>
      </c>
      <c r="L177" s="63" t="n">
        <v>44162</v>
      </c>
      <c r="M177" s="70" t="n">
        <v>65000</v>
      </c>
      <c r="N177" s="59" t="n"/>
      <c r="O177" s="64" t="n">
        <v>1</v>
      </c>
      <c r="P177" s="59" t="n"/>
      <c r="Q177" s="65" t="inlineStr">
        <is>
          <t>Plumbing - Proposal to renovate existing basement into secondary suite</t>
        </is>
      </c>
      <c r="R177" s="61" t="inlineStr">
        <is>
          <t>Map</t>
        </is>
      </c>
      <c r="S177" s="61" t="inlineStr">
        <is>
          <t>Raw data</t>
        </is>
      </c>
    </row>
    <row r="178" ht="68" customHeight="1">
      <c r="A178" s="59" t="inlineStr">
        <is>
          <t>32 Ardmore Rd</t>
        </is>
      </c>
      <c r="B178" s="60" t="n">
        <v>238</v>
      </c>
      <c r="C178" s="59" t="inlineStr">
        <is>
          <t>2 Silverwood Ave</t>
        </is>
      </c>
      <c r="D178" s="59" t="inlineStr">
        <is>
          <t>26 208054</t>
        </is>
      </c>
      <c r="E178" s="61" t="inlineStr">
        <is>
          <t>Check permit status</t>
        </is>
      </c>
      <c r="F178" s="59" t="inlineStr">
        <is>
          <t>New building</t>
        </is>
      </c>
      <c r="G178" s="59" t="inlineStr">
        <is>
          <t>New Houses; Drain and Site Service; Plumbing(PS)</t>
        </is>
      </c>
      <c r="H178" s="59" t="inlineStr">
        <is>
          <t>SFD - Detached</t>
        </is>
      </c>
      <c r="I178" s="59" t="inlineStr">
        <is>
          <t>issued</t>
        </is>
      </c>
      <c r="J178" s="63" t="n">
        <v>46227</v>
      </c>
      <c r="K178" s="63" t="n">
        <v>46248</v>
      </c>
      <c r="L178" s="63" t="n"/>
      <c r="M178" s="70" t="n">
        <v>1500000</v>
      </c>
      <c r="N178" s="59" t="n"/>
      <c r="O178" s="64" t="n">
        <v>1</v>
      </c>
      <c r="P178" s="59" t="n"/>
      <c r="Q178" s="65" t="inlineStr">
        <is>
          <t>Proposed rear and side additions, third storey addition, and interior alterations to an existing two-storey single family detached dwelling, with an integral garage, a front covered porch, and a rear covered deck. Considered and reviewed as NEW three-storey single family detached house (more than 50% of the existing walls are removed /replaced)</t>
        </is>
      </c>
      <c r="R178" s="61" t="inlineStr">
        <is>
          <t>Map</t>
        </is>
      </c>
      <c r="S178" s="61" t="inlineStr">
        <is>
          <t>Raw data</t>
        </is>
      </c>
    </row>
    <row r="179" ht="16" customHeight="1">
      <c r="A179" s="59" t="inlineStr">
        <is>
          <t>32 Ardmore Rd</t>
        </is>
      </c>
      <c r="B179" s="60" t="n">
        <v>238</v>
      </c>
      <c r="C179" s="59" t="inlineStr">
        <is>
          <t>2 Silverwood Ave</t>
        </is>
      </c>
      <c r="D179" s="59" t="inlineStr">
        <is>
          <t>26 208068</t>
        </is>
      </c>
      <c r="E179" s="61" t="inlineStr">
        <is>
          <t>Check permit status</t>
        </is>
      </c>
      <c r="F179" s="59" t="inlineStr">
        <is>
          <t>Demolition</t>
        </is>
      </c>
      <c r="G179" s="59" t="inlineStr">
        <is>
          <t>Demolition Folder (DM)</t>
        </is>
      </c>
      <c r="H179" s="59" t="inlineStr">
        <is>
          <t>SFD - Detached</t>
        </is>
      </c>
      <c r="I179" s="59" t="inlineStr">
        <is>
          <t>issued</t>
        </is>
      </c>
      <c r="J179" s="63" t="n">
        <v>46227</v>
      </c>
      <c r="K179" s="63" t="n">
        <v>46248</v>
      </c>
      <c r="L179" s="63" t="n"/>
      <c r="M179" s="70" t="n"/>
      <c r="N179" s="59" t="inlineStr">
        <is>
          <t>Unreliable (zero or out of band)</t>
        </is>
      </c>
      <c r="O179" s="64" t="n"/>
      <c r="P179" s="59" t="n"/>
      <c r="Q179" s="65" t="inlineStr">
        <is>
          <t>PARTIAL DEMO OF EXISTING 2 STOREY DWELLING</t>
        </is>
      </c>
      <c r="R179" s="61" t="inlineStr">
        <is>
          <t>Map</t>
        </is>
      </c>
      <c r="S179" s="61" t="inlineStr">
        <is>
          <t>Raw data</t>
        </is>
      </c>
    </row>
    <row r="180" ht="16" customHeight="1">
      <c r="A180" s="59" t="inlineStr">
        <is>
          <t>32 Ardmore Rd</t>
        </is>
      </c>
      <c r="B180" s="60" t="n">
        <v>239</v>
      </c>
      <c r="C180" s="59" t="inlineStr">
        <is>
          <t>305 Rosemary Rd</t>
        </is>
      </c>
      <c r="D180" s="59" t="inlineStr">
        <is>
          <t>18 224547</t>
        </is>
      </c>
      <c r="E180" s="61" t="inlineStr">
        <is>
          <t>Building records request</t>
        </is>
      </c>
      <c r="F180" s="59" t="inlineStr">
        <is>
          <t>Addition or alteration</t>
        </is>
      </c>
      <c r="G180" s="59" t="inlineStr">
        <is>
          <t>Small Residential Projects</t>
        </is>
      </c>
      <c r="H180" s="59" t="inlineStr">
        <is>
          <t>SFD - Detached</t>
        </is>
      </c>
      <c r="I180" s="59" t="inlineStr">
        <is>
          <t>closed</t>
        </is>
      </c>
      <c r="J180" s="63" t="n">
        <v>43355</v>
      </c>
      <c r="K180" s="63" t="n">
        <v>43357</v>
      </c>
      <c r="L180" s="63" t="n">
        <v>45202</v>
      </c>
      <c r="M180" s="70" t="n">
        <v>15000</v>
      </c>
      <c r="N180" s="59" t="n"/>
      <c r="O180" s="64" t="n"/>
      <c r="P180" s="59" t="n"/>
      <c r="Q180" s="65" t="inlineStr">
        <is>
          <t>UNDERPINNING IN EXISTING UNFINISHED BASEMENT</t>
        </is>
      </c>
      <c r="R180" s="61" t="inlineStr">
        <is>
          <t>Map</t>
        </is>
      </c>
      <c r="S180" s="61" t="inlineStr">
        <is>
          <t>Raw data</t>
        </is>
      </c>
    </row>
    <row r="181" ht="42" customHeight="1">
      <c r="A181" s="59" t="inlineStr">
        <is>
          <t>32 Ardmore Rd</t>
        </is>
      </c>
      <c r="B181" s="60" t="n">
        <v>239</v>
      </c>
      <c r="C181" s="59" t="inlineStr">
        <is>
          <t>305 Rosemary Rd</t>
        </is>
      </c>
      <c r="D181" s="59" t="inlineStr">
        <is>
          <t>19 177124</t>
        </is>
      </c>
      <c r="E181" s="61" t="inlineStr">
        <is>
          <t>Building records request</t>
        </is>
      </c>
      <c r="F181" s="59" t="inlineStr">
        <is>
          <t>Addition or alteration</t>
        </is>
      </c>
      <c r="G181" s="59" t="inlineStr">
        <is>
          <t>Small Residential Projects</t>
        </is>
      </c>
      <c r="H181" s="59" t="inlineStr">
        <is>
          <t>SFD - Detached</t>
        </is>
      </c>
      <c r="I181" s="59" t="inlineStr">
        <is>
          <t>closed</t>
        </is>
      </c>
      <c r="J181" s="63" t="n">
        <v>43971</v>
      </c>
      <c r="K181" s="63" t="n">
        <v>43973</v>
      </c>
      <c r="L181" s="63" t="n">
        <v>45848</v>
      </c>
      <c r="M181" s="70" t="n">
        <v>50000</v>
      </c>
      <c r="N181" s="59" t="n"/>
      <c r="O181" s="64" t="n"/>
      <c r="P181" s="59" t="n"/>
      <c r="Q181" s="65" t="inlineStr">
        <is>
          <t>Rev 02: Convert storage area above garage to heated storage.(A4)Revision #1 - Omit stairs from garage. (A3), add opening from second floor, to access storage area above garage.</t>
        </is>
      </c>
      <c r="R181" s="61" t="inlineStr">
        <is>
          <t>Map</t>
        </is>
      </c>
      <c r="S181" s="61" t="inlineStr">
        <is>
          <t>Raw data</t>
        </is>
      </c>
    </row>
    <row r="182" ht="16" customHeight="1">
      <c r="A182" s="59" t="inlineStr">
        <is>
          <t>32 Ardmore Rd</t>
        </is>
      </c>
      <c r="B182" s="60" t="n">
        <v>239</v>
      </c>
      <c r="C182" s="59" t="inlineStr">
        <is>
          <t>305 Rosemary Rd</t>
        </is>
      </c>
      <c r="D182" s="59" t="inlineStr">
        <is>
          <t>19 196001</t>
        </is>
      </c>
      <c r="E182" s="61" t="inlineStr">
        <is>
          <t>Building records request</t>
        </is>
      </c>
      <c r="F182" s="59" t="inlineStr">
        <is>
          <t>Addition or alteration</t>
        </is>
      </c>
      <c r="G182" s="59" t="inlineStr">
        <is>
          <t>Mechanical(MS); Plumbing(PS); Small Residential Projects</t>
        </is>
      </c>
      <c r="H182" s="59" t="inlineStr">
        <is>
          <t>SFD - Detached</t>
        </is>
      </c>
      <c r="I182" s="59" t="inlineStr">
        <is>
          <t>closed</t>
        </is>
      </c>
      <c r="J182" s="63" t="n">
        <v>43697</v>
      </c>
      <c r="K182" s="63" t="n">
        <v>43717</v>
      </c>
      <c r="L182" s="63" t="n">
        <v>45854</v>
      </c>
      <c r="M182" s="70" t="n">
        <v>45000</v>
      </c>
      <c r="N182" s="59" t="n"/>
      <c r="O182" s="64" t="n"/>
      <c r="P182" s="59" t="n"/>
      <c r="Q182" s="65" t="inlineStr">
        <is>
          <t>Plumbing - Proposal for interior alterations to existing dwelling.</t>
        </is>
      </c>
      <c r="R182" s="61" t="inlineStr">
        <is>
          <t>Map</t>
        </is>
      </c>
      <c r="S182" s="61" t="inlineStr">
        <is>
          <t>Raw data</t>
        </is>
      </c>
    </row>
    <row r="183" ht="16" customHeight="1">
      <c r="A183" s="59" t="inlineStr">
        <is>
          <t>32 Ardmore Rd</t>
        </is>
      </c>
      <c r="B183" s="60" t="n">
        <v>239</v>
      </c>
      <c r="C183" s="59" t="inlineStr">
        <is>
          <t>305 Rosemary Rd</t>
        </is>
      </c>
      <c r="D183" s="59" t="inlineStr">
        <is>
          <t>20 185371</t>
        </is>
      </c>
      <c r="E183" s="61" t="inlineStr">
        <is>
          <t>Building records request</t>
        </is>
      </c>
      <c r="F183" s="59" t="inlineStr">
        <is>
          <t>Addition or alteration</t>
        </is>
      </c>
      <c r="G183" s="59" t="inlineStr">
        <is>
          <t>Small Residential Projects</t>
        </is>
      </c>
      <c r="H183" s="59" t="inlineStr">
        <is>
          <t>SFD - Detached</t>
        </is>
      </c>
      <c r="I183" s="59" t="inlineStr">
        <is>
          <t>closed</t>
        </is>
      </c>
      <c r="J183" s="63" t="n">
        <v>44068</v>
      </c>
      <c r="K183" s="63" t="n"/>
      <c r="L183" s="63" t="n">
        <v>44085</v>
      </c>
      <c r="M183" s="70" t="n">
        <v>4500</v>
      </c>
      <c r="N183" s="59" t="n"/>
      <c r="O183" s="64" t="n"/>
      <c r="P183" s="59" t="n"/>
      <c r="Q183" s="65" t="inlineStr">
        <is>
          <t>Inground pool with enclosure</t>
        </is>
      </c>
      <c r="R183" s="61" t="inlineStr">
        <is>
          <t>Map</t>
        </is>
      </c>
      <c r="S183" s="61" t="inlineStr">
        <is>
          <t>Raw data</t>
        </is>
      </c>
    </row>
    <row r="184" ht="16" customHeight="1">
      <c r="A184" s="59" t="inlineStr">
        <is>
          <t>32 Ardmore Rd</t>
        </is>
      </c>
      <c r="B184" s="60" t="n">
        <v>242</v>
      </c>
      <c r="C184" s="59" t="inlineStr">
        <is>
          <t>21 Burton Rd</t>
        </is>
      </c>
      <c r="D184" s="59" t="inlineStr">
        <is>
          <t>19 199433</t>
        </is>
      </c>
      <c r="E184" s="61" t="inlineStr">
        <is>
          <t>Building records request</t>
        </is>
      </c>
      <c r="F184" s="59" t="inlineStr">
        <is>
          <t>Addition or alteration</t>
        </is>
      </c>
      <c r="G184" s="59" t="inlineStr">
        <is>
          <t>Small Residential Projects</t>
        </is>
      </c>
      <c r="H184" s="59" t="inlineStr">
        <is>
          <t>SFD - Detached</t>
        </is>
      </c>
      <c r="I184" s="59" t="inlineStr">
        <is>
          <t>cancelled</t>
        </is>
      </c>
      <c r="J184" s="63" t="n">
        <v>43678</v>
      </c>
      <c r="K184" s="63" t="n"/>
      <c r="L184" s="63" t="n">
        <v>44037</v>
      </c>
      <c r="M184" s="70" t="n">
        <v>155000</v>
      </c>
      <c r="N184" s="59" t="n"/>
      <c r="O184" s="64" t="n"/>
      <c r="P184" s="59" t="n"/>
      <c r="Q184" s="65" t="inlineStr">
        <is>
          <t>Pool fence enclosure.</t>
        </is>
      </c>
      <c r="R184" s="61" t="inlineStr">
        <is>
          <t>Map</t>
        </is>
      </c>
      <c r="S184" s="61" t="inlineStr">
        <is>
          <t>Raw data</t>
        </is>
      </c>
    </row>
    <row r="185" ht="16" customHeight="1">
      <c r="A185" s="59" t="inlineStr">
        <is>
          <t>32 Ardmore Rd</t>
        </is>
      </c>
      <c r="B185" s="60" t="n">
        <v>242</v>
      </c>
      <c r="C185" s="59" t="inlineStr">
        <is>
          <t>226 Rosemary Rd</t>
        </is>
      </c>
      <c r="D185" s="59" t="inlineStr">
        <is>
          <t>23 112356</t>
        </is>
      </c>
      <c r="E185" s="61" t="inlineStr">
        <is>
          <t>Check permit status</t>
        </is>
      </c>
      <c r="F185" s="59" t="inlineStr">
        <is>
          <t>Other</t>
        </is>
      </c>
      <c r="G185" s="59" t="inlineStr">
        <is>
          <t>Drain and Site Service</t>
        </is>
      </c>
      <c r="H185" s="59" t="inlineStr">
        <is>
          <t>SFD - Detached</t>
        </is>
      </c>
      <c r="I185" s="59" t="inlineStr">
        <is>
          <t>revocation pending</t>
        </is>
      </c>
      <c r="J185" s="63" t="n">
        <v>44966</v>
      </c>
      <c r="K185" s="63" t="n">
        <v>44967</v>
      </c>
      <c r="L185" s="63" t="n"/>
      <c r="M185" s="70" t="n"/>
      <c r="N185" s="59" t="inlineStr">
        <is>
          <t>Not declared</t>
        </is>
      </c>
      <c r="O185" s="64" t="n"/>
      <c r="P185" s="59" t="n"/>
      <c r="Q185" s="65" t="inlineStr">
        <is>
          <t>Install backwater valve</t>
        </is>
      </c>
      <c r="R185" s="61" t="inlineStr">
        <is>
          <t>Map</t>
        </is>
      </c>
      <c r="S185" s="61" t="inlineStr">
        <is>
          <t>Raw data</t>
        </is>
      </c>
    </row>
    <row r="186" ht="29" customHeight="1">
      <c r="A186" s="59" t="inlineStr">
        <is>
          <t>32 Ardmore Rd</t>
        </is>
      </c>
      <c r="B186" s="60" t="n">
        <v>243</v>
      </c>
      <c r="C186" s="59" t="inlineStr">
        <is>
          <t>308 Glenayr Rd</t>
        </is>
      </c>
      <c r="D186" s="59" t="inlineStr">
        <is>
          <t>16 138536</t>
        </is>
      </c>
      <c r="E186" s="61" t="inlineStr">
        <is>
          <t>Building records request</t>
        </is>
      </c>
      <c r="F186" s="59" t="inlineStr">
        <is>
          <t>New building</t>
        </is>
      </c>
      <c r="G186" s="59" t="inlineStr">
        <is>
          <t>Mechanical(MS); Plumbing(PS); New Houses; Drain and Site Service</t>
        </is>
      </c>
      <c r="H186" s="59" t="inlineStr">
        <is>
          <t>SFD - Detached</t>
        </is>
      </c>
      <c r="I186" s="59" t="inlineStr">
        <is>
          <t>closed</t>
        </is>
      </c>
      <c r="J186" s="63" t="n">
        <v>42670</v>
      </c>
      <c r="K186" s="63" t="n">
        <v>42689</v>
      </c>
      <c r="L186" s="63" t="n">
        <v>43040</v>
      </c>
      <c r="M186" s="70" t="n">
        <v>600000</v>
      </c>
      <c r="N186" s="59" t="n"/>
      <c r="O186" s="64" t="n">
        <v>1</v>
      </c>
      <c r="P186" s="59" t="n"/>
      <c r="Q186" s="65" t="inlineStr">
        <is>
          <t>Plumbing - Two storey dwelling with attached garage and finished basement</t>
        </is>
      </c>
      <c r="R186" s="61" t="inlineStr">
        <is>
          <t>Map</t>
        </is>
      </c>
      <c r="S186" s="61" t="inlineStr">
        <is>
          <t>Raw data</t>
        </is>
      </c>
    </row>
    <row r="187" ht="55" customHeight="1">
      <c r="A187" s="59" t="inlineStr">
        <is>
          <t>32 Ardmore Rd</t>
        </is>
      </c>
      <c r="B187" s="60" t="n">
        <v>245</v>
      </c>
      <c r="C187" s="59" t="inlineStr">
        <is>
          <t>8 Elderwood Dr</t>
        </is>
      </c>
      <c r="D187" s="59" t="inlineStr">
        <is>
          <t>22 189324</t>
        </is>
      </c>
      <c r="E187" s="61" t="inlineStr">
        <is>
          <t>Check permit status</t>
        </is>
      </c>
      <c r="F187" s="59" t="inlineStr">
        <is>
          <t>Addition or alteration</t>
        </is>
      </c>
      <c r="G187" s="59" t="inlineStr">
        <is>
          <t>Small Residential Projects</t>
        </is>
      </c>
      <c r="H187" s="59" t="inlineStr">
        <is>
          <t>SFD - Detached</t>
        </is>
      </c>
      <c r="I187" s="59" t="inlineStr">
        <is>
          <t>issued</t>
        </is>
      </c>
      <c r="J187" s="63" t="n">
        <v>44784</v>
      </c>
      <c r="K187" s="63" t="n">
        <v>44798</v>
      </c>
      <c r="L187" s="63" t="n"/>
      <c r="M187" s="70" t="n">
        <v>300000</v>
      </c>
      <c r="N187" s="59" t="n"/>
      <c r="O187" s="64" t="n"/>
      <c r="P187" s="59" t="n"/>
      <c r="Q187" s="65" t="inlineStr">
        <is>
          <t>Proposal for interior alterations on all floor levels except the 3rd floor level. Exterior alterations to add new windows in existing openings, enclose windows &amp; an existing door replaced with a new enlarged window at rear elevation.</t>
        </is>
      </c>
      <c r="R187" s="61" t="inlineStr">
        <is>
          <t>Map</t>
        </is>
      </c>
      <c r="S187" s="61" t="inlineStr">
        <is>
          <t>Raw data</t>
        </is>
      </c>
    </row>
    <row r="188" ht="16" customHeight="1">
      <c r="A188" s="59" t="inlineStr">
        <is>
          <t>32 Ardmore Rd</t>
        </is>
      </c>
      <c r="B188" s="60" t="n">
        <v>246</v>
      </c>
      <c r="C188" s="59" t="inlineStr">
        <is>
          <t>15 Robinwood Ave</t>
        </is>
      </c>
      <c r="D188" s="59" t="inlineStr">
        <is>
          <t>15 238670</t>
        </is>
      </c>
      <c r="E188" s="61" t="inlineStr">
        <is>
          <t>Building records request</t>
        </is>
      </c>
      <c r="F188" s="59" t="inlineStr">
        <is>
          <t>Demolition</t>
        </is>
      </c>
      <c r="G188" s="59" t="inlineStr">
        <is>
          <t>Demolition Folder (DM)</t>
        </is>
      </c>
      <c r="H188" s="59" t="inlineStr">
        <is>
          <t>SFD - Detached</t>
        </is>
      </c>
      <c r="I188" s="59" t="inlineStr">
        <is>
          <t>closed</t>
        </is>
      </c>
      <c r="J188" s="63" t="n">
        <v>42293</v>
      </c>
      <c r="K188" s="63" t="n">
        <v>42338</v>
      </c>
      <c r="L188" s="63" t="n">
        <v>42955</v>
      </c>
      <c r="M188" s="70" t="n"/>
      <c r="N188" s="59" t="inlineStr">
        <is>
          <t>Unreliable (zero or out of band)</t>
        </is>
      </c>
      <c r="O188" s="64" t="n"/>
      <c r="P188" s="59" t="n"/>
      <c r="Q188" s="65" t="inlineStr">
        <is>
          <t>Proposal to demolish existing SFD-detached dwelling.</t>
        </is>
      </c>
      <c r="R188" s="61" t="inlineStr">
        <is>
          <t>Map</t>
        </is>
      </c>
      <c r="S188" s="61" t="inlineStr">
        <is>
          <t>Raw data</t>
        </is>
      </c>
    </row>
    <row r="189" ht="42" customHeight="1">
      <c r="A189" s="59" t="inlineStr">
        <is>
          <t>32 Ardmore Rd</t>
        </is>
      </c>
      <c r="B189" s="60" t="n">
        <v>246</v>
      </c>
      <c r="C189" s="59" t="inlineStr">
        <is>
          <t>15 Robinwood Ave</t>
        </is>
      </c>
      <c r="D189" s="59" t="inlineStr">
        <is>
          <t>15 238674</t>
        </is>
      </c>
      <c r="E189" s="61" t="inlineStr">
        <is>
          <t>Building records request</t>
        </is>
      </c>
      <c r="F189" s="59" t="inlineStr">
        <is>
          <t>New building</t>
        </is>
      </c>
      <c r="G189" s="59" t="inlineStr">
        <is>
          <t>Mechanical(MS); Plumbing(PS); New Houses; Drain and Site Service</t>
        </is>
      </c>
      <c r="H189" s="59" t="inlineStr">
        <is>
          <t>SFD - Detached</t>
        </is>
      </c>
      <c r="I189" s="59" t="inlineStr">
        <is>
          <t>closed</t>
        </is>
      </c>
      <c r="J189" s="63" t="n">
        <v>42509</v>
      </c>
      <c r="K189" s="63" t="n">
        <v>42520</v>
      </c>
      <c r="L189" s="63" t="n">
        <v>42955</v>
      </c>
      <c r="M189" s="70" t="n">
        <v>1000000</v>
      </c>
      <c r="N189" s="59" t="n"/>
      <c r="O189" s="64" t="n">
        <v>1</v>
      </c>
      <c r="P189" s="59" t="n"/>
      <c r="Q189" s="65" t="inlineStr">
        <is>
          <t>Drain - Floor drains and mainline backwater valveProposal to construct a new 3 storey SFD-detached dwelling- Shoring included. See also 15 238670 DEM, 15 152126 ZZC and 15 169271 MV</t>
        </is>
      </c>
      <c r="R189" s="61" t="inlineStr">
        <is>
          <t>Map</t>
        </is>
      </c>
      <c r="S189" s="61" t="inlineStr">
        <is>
          <t>Raw data</t>
        </is>
      </c>
    </row>
    <row r="190" ht="68" customHeight="1">
      <c r="A190" s="59" t="inlineStr">
        <is>
          <t>32 Ardmore Rd</t>
        </is>
      </c>
      <c r="B190" s="60" t="n">
        <v>246</v>
      </c>
      <c r="C190" s="59" t="inlineStr">
        <is>
          <t>209 Richview Ave</t>
        </is>
      </c>
      <c r="D190" s="59" t="inlineStr">
        <is>
          <t>19 151442</t>
        </is>
      </c>
      <c r="E190" s="61" t="inlineStr">
        <is>
          <t>Building records request</t>
        </is>
      </c>
      <c r="F190" s="59" t="inlineStr">
        <is>
          <t>Addition or alteration</t>
        </is>
      </c>
      <c r="G190" s="59" t="inlineStr">
        <is>
          <t>Mechanical(MS); Plumbing(PS); Small Residential Projects</t>
        </is>
      </c>
      <c r="H190" s="59" t="inlineStr">
        <is>
          <t>SFD - Detached</t>
        </is>
      </c>
      <c r="I190" s="59" t="inlineStr">
        <is>
          <t>closed</t>
        </is>
      </c>
      <c r="J190" s="63" t="n">
        <v>43773</v>
      </c>
      <c r="K190" s="63" t="n">
        <v>43788</v>
      </c>
      <c r="L190" s="63" t="n">
        <v>44281</v>
      </c>
      <c r="M190" s="70" t="n">
        <v>700000</v>
      </c>
      <c r="N190" s="59" t="n"/>
      <c r="O190" s="64" t="n"/>
      <c r="P190" s="59" t="n"/>
      <c r="Q190" s="65" t="inlineStr">
        <is>
          <t>REV01: Revison to permit 19-151442 BLD as per bubbled area. Proposal to excavate under rear terrace, reduce underpinning area, no excavation under garage.Proposed Rear Additions on the Rear of the Ground &amp; 2nd Floors, and alterations &amp; renovations to the Existing 2-Storey SFD Detached House.</t>
        </is>
      </c>
      <c r="R190" s="61" t="inlineStr">
        <is>
          <t>Map</t>
        </is>
      </c>
      <c r="S190" s="61" t="inlineStr">
        <is>
          <t>Raw data</t>
        </is>
      </c>
    </row>
    <row r="191" ht="16" customHeight="1">
      <c r="A191" s="59" t="inlineStr">
        <is>
          <t>32 Ardmore Rd</t>
        </is>
      </c>
      <c r="B191" s="60" t="n">
        <v>246</v>
      </c>
      <c r="C191" s="59" t="inlineStr">
        <is>
          <t>209 Richview Ave</t>
        </is>
      </c>
      <c r="D191" s="59" t="inlineStr">
        <is>
          <t>19 207554</t>
        </is>
      </c>
      <c r="E191" s="61" t="inlineStr">
        <is>
          <t>Building records request</t>
        </is>
      </c>
      <c r="F191" s="59" t="inlineStr">
        <is>
          <t>Addition or alteration</t>
        </is>
      </c>
      <c r="G191" s="59" t="inlineStr">
        <is>
          <t>Small Residential Projects</t>
        </is>
      </c>
      <c r="H191" s="59" t="inlineStr">
        <is>
          <t>SFD - Detached</t>
        </is>
      </c>
      <c r="I191" s="59" t="inlineStr">
        <is>
          <t>closed</t>
        </is>
      </c>
      <c r="J191" s="63" t="n">
        <v>43694</v>
      </c>
      <c r="K191" s="63" t="n">
        <v>43731</v>
      </c>
      <c r="L191" s="63" t="n">
        <v>43731</v>
      </c>
      <c r="M191" s="70" t="n">
        <v>45000</v>
      </c>
      <c r="N191" s="59" t="n"/>
      <c r="O191" s="64" t="n"/>
      <c r="P191" s="59" t="n"/>
      <c r="Q191" s="65" t="inlineStr">
        <is>
          <t>Proposed pool fence enclosure</t>
        </is>
      </c>
      <c r="R191" s="61" t="inlineStr">
        <is>
          <t>Map</t>
        </is>
      </c>
      <c r="S191" s="61" t="inlineStr">
        <is>
          <t>Raw data</t>
        </is>
      </c>
    </row>
    <row r="192" ht="55" customHeight="1">
      <c r="A192" s="59" t="inlineStr">
        <is>
          <t>32 Ardmore Rd</t>
        </is>
      </c>
      <c r="B192" s="60" t="n">
        <v>246</v>
      </c>
      <c r="C192" s="59" t="inlineStr">
        <is>
          <t>312 Vesta Dr</t>
        </is>
      </c>
      <c r="D192" s="59" t="inlineStr">
        <is>
          <t>23 193098</t>
        </is>
      </c>
      <c r="E192" s="61" t="inlineStr">
        <is>
          <t>Building records request</t>
        </is>
      </c>
      <c r="F192" s="59" t="inlineStr">
        <is>
          <t>Addition or alteration</t>
        </is>
      </c>
      <c r="G192" s="59" t="inlineStr">
        <is>
          <t>Mechanical(MS); Plumbing(PS); Small Residential Projects</t>
        </is>
      </c>
      <c r="H192" s="59" t="inlineStr">
        <is>
          <t>SFD - Detached</t>
        </is>
      </c>
      <c r="I192" s="59" t="inlineStr">
        <is>
          <t>closed</t>
        </is>
      </c>
      <c r="J192" s="63" t="n">
        <v>45440</v>
      </c>
      <c r="K192" s="63" t="n">
        <v>45453</v>
      </c>
      <c r="L192" s="63" t="n">
        <v>45623</v>
      </c>
      <c r="M192" s="70" t="n">
        <v>500000</v>
      </c>
      <c r="N192" s="59" t="n"/>
      <c r="O192" s="64" t="n"/>
      <c r="P192" s="59" t="n"/>
      <c r="Q192" s="65" t="inlineStr">
        <is>
          <t>HVAC - To alter the existing two-and-one-half storey detached house by constructing a partial third storey addition, rear third floor roof terrace, and a rear third floor balcony. Also, to reconstruct the rear ground level deck.</t>
        </is>
      </c>
      <c r="R192" s="61" t="inlineStr">
        <is>
          <t>Map</t>
        </is>
      </c>
      <c r="S192" s="61" t="inlineStr">
        <is>
          <t>Raw data</t>
        </is>
      </c>
    </row>
    <row r="193" ht="16" customHeight="1">
      <c r="A193" s="59" t="inlineStr">
        <is>
          <t>32 Ardmore Rd</t>
        </is>
      </c>
      <c r="B193" s="60" t="n">
        <v>246</v>
      </c>
      <c r="C193" s="59" t="inlineStr">
        <is>
          <t>312 Vesta Dr</t>
        </is>
      </c>
      <c r="D193" s="59" t="inlineStr">
        <is>
          <t>98 025408</t>
        </is>
      </c>
      <c r="E193" s="61" t="inlineStr">
        <is>
          <t>Building records request</t>
        </is>
      </c>
      <c r="F193" s="59" t="inlineStr">
        <is>
          <t>Addition or alteration</t>
        </is>
      </c>
      <c r="G193" s="59" t="inlineStr">
        <is>
          <t>Small Residential Projects</t>
        </is>
      </c>
      <c r="H193" s="59" t="inlineStr">
        <is>
          <t>Unknown</t>
        </is>
      </c>
      <c r="I193" s="59" t="inlineStr">
        <is>
          <t>closed</t>
        </is>
      </c>
      <c r="J193" s="63" t="n">
        <v>36153</v>
      </c>
      <c r="K193" s="63" t="n">
        <v>36189</v>
      </c>
      <c r="L193" s="63" t="n">
        <v>46043</v>
      </c>
      <c r="M193" s="70" t="n">
        <v>65000</v>
      </c>
      <c r="N193" s="59" t="n"/>
      <c r="O193" s="64" t="n"/>
      <c r="P193" s="59" t="n"/>
      <c r="Q193" s="65" t="inlineStr">
        <is>
          <t>MAKE INTERIOR ALTERATIONS, ALSO BUILD TWO STOREY ADDITION AT REAR. LG</t>
        </is>
      </c>
      <c r="R193" s="61" t="inlineStr">
        <is>
          <t>Map</t>
        </is>
      </c>
      <c r="S193" s="61" t="inlineStr">
        <is>
          <t>Raw data</t>
        </is>
      </c>
    </row>
    <row r="194" ht="16" customHeight="1">
      <c r="A194" s="59" t="inlineStr">
        <is>
          <t>32 Ardmore Rd</t>
        </is>
      </c>
      <c r="B194" s="60" t="n">
        <v>247</v>
      </c>
      <c r="C194" s="59" t="inlineStr">
        <is>
          <t>14 Burton Rd</t>
        </is>
      </c>
      <c r="D194" s="59" t="inlineStr">
        <is>
          <t>09 188148</t>
        </is>
      </c>
      <c r="E194" s="61" t="inlineStr">
        <is>
          <t>Building records request</t>
        </is>
      </c>
      <c r="F194" s="59" t="inlineStr">
        <is>
          <t>Other</t>
        </is>
      </c>
      <c r="G194" s="59" t="inlineStr">
        <is>
          <t>Plumbing(PS)</t>
        </is>
      </c>
      <c r="H194" s="59" t="inlineStr">
        <is>
          <t>SFD - Detached</t>
        </is>
      </c>
      <c r="I194" s="59" t="inlineStr">
        <is>
          <t>closed</t>
        </is>
      </c>
      <c r="J194" s="63" t="n">
        <v>40133</v>
      </c>
      <c r="K194" s="63" t="n">
        <v>40133</v>
      </c>
      <c r="L194" s="63" t="n">
        <v>44372</v>
      </c>
      <c r="M194" s="70" t="n"/>
      <c r="N194" s="59" t="inlineStr">
        <is>
          <t>Unreliable (zero or out of band)</t>
        </is>
      </c>
      <c r="O194" s="64" t="n"/>
      <c r="P194" s="59" t="n"/>
      <c r="Q194" s="65" t="inlineStr">
        <is>
          <t>Proposal to relocated kitchen sink and washing machine</t>
        </is>
      </c>
      <c r="R194" s="61" t="inlineStr">
        <is>
          <t>Map</t>
        </is>
      </c>
      <c r="S194" s="61" t="inlineStr">
        <is>
          <t>Raw data</t>
        </is>
      </c>
    </row>
    <row r="195" ht="16" customHeight="1">
      <c r="A195" s="59" t="inlineStr">
        <is>
          <t>32 Ardmore Rd</t>
        </is>
      </c>
      <c r="B195" s="60" t="n">
        <v>247</v>
      </c>
      <c r="C195" s="59" t="inlineStr">
        <is>
          <t>315 Glenayr Rd</t>
        </is>
      </c>
      <c r="D195" s="59" t="inlineStr">
        <is>
          <t>23 163518</t>
        </is>
      </c>
      <c r="E195" s="61" t="inlineStr">
        <is>
          <t>Building records request</t>
        </is>
      </c>
      <c r="F195" s="59" t="inlineStr">
        <is>
          <t>Addition or alteration</t>
        </is>
      </c>
      <c r="G195" s="59" t="inlineStr">
        <is>
          <t>Small Residential Projects</t>
        </is>
      </c>
      <c r="H195" s="59" t="inlineStr">
        <is>
          <t>SFD - Detached</t>
        </is>
      </c>
      <c r="I195" s="59" t="inlineStr">
        <is>
          <t>closed</t>
        </is>
      </c>
      <c r="J195" s="63" t="n">
        <v>45097</v>
      </c>
      <c r="K195" s="63" t="n">
        <v>45103</v>
      </c>
      <c r="L195" s="63" t="n">
        <v>45223</v>
      </c>
      <c r="M195" s="70" t="n">
        <v>5000</v>
      </c>
      <c r="N195" s="59" t="n"/>
      <c r="O195" s="64" t="n"/>
      <c r="P195" s="59" t="n"/>
      <c r="Q195" s="65" t="inlineStr">
        <is>
          <t>Replace 3 existing windows with a single picture window</t>
        </is>
      </c>
      <c r="R195" s="61" t="inlineStr">
        <is>
          <t>Map</t>
        </is>
      </c>
      <c r="S195" s="61" t="inlineStr">
        <is>
          <t>Raw data</t>
        </is>
      </c>
    </row>
    <row r="196" ht="16" customHeight="1">
      <c r="A196" s="59" t="inlineStr">
        <is>
          <t>65 Bristol Ave</t>
        </is>
      </c>
      <c r="B196" s="60" t="n">
        <v>6</v>
      </c>
      <c r="C196" s="59" t="inlineStr">
        <is>
          <t>63 Bristol Ave</t>
        </is>
      </c>
      <c r="D196" s="59" t="inlineStr">
        <is>
          <t>23 208900</t>
        </is>
      </c>
      <c r="E196" s="61" t="inlineStr">
        <is>
          <t>Building records request</t>
        </is>
      </c>
      <c r="F196" s="59" t="inlineStr">
        <is>
          <t>Other</t>
        </is>
      </c>
      <c r="G196" s="59" t="inlineStr">
        <is>
          <t>Drain and Site Service</t>
        </is>
      </c>
      <c r="H196" s="59" t="inlineStr">
        <is>
          <t>SFD - Detached</t>
        </is>
      </c>
      <c r="I196" s="59" t="inlineStr">
        <is>
          <t>closed</t>
        </is>
      </c>
      <c r="J196" s="63" t="n">
        <v>45198</v>
      </c>
      <c r="K196" s="63" t="n">
        <v>45202</v>
      </c>
      <c r="L196" s="63" t="n">
        <v>45204</v>
      </c>
      <c r="M196" s="70" t="n"/>
      <c r="N196" s="59" t="inlineStr">
        <is>
          <t>Not declared</t>
        </is>
      </c>
      <c r="O196" s="64" t="n"/>
      <c r="P196" s="59" t="n"/>
      <c r="Q196" s="65" t="inlineStr">
        <is>
          <t>Installation of backwater valve</t>
        </is>
      </c>
      <c r="R196" s="61" t="inlineStr">
        <is>
          <t>Map</t>
        </is>
      </c>
      <c r="S196" s="61" t="inlineStr">
        <is>
          <t>Raw data</t>
        </is>
      </c>
    </row>
    <row r="197" ht="16" customHeight="1">
      <c r="A197" s="59" t="inlineStr">
        <is>
          <t>65 Bristol Ave</t>
        </is>
      </c>
      <c r="B197" s="60" t="n">
        <v>15</v>
      </c>
      <c r="C197" s="59" t="inlineStr">
        <is>
          <t>61 Bristol Ave</t>
        </is>
      </c>
      <c r="D197" s="59" t="inlineStr">
        <is>
          <t>24 204959</t>
        </is>
      </c>
      <c r="E197" s="61" t="inlineStr">
        <is>
          <t>Check permit status</t>
        </is>
      </c>
      <c r="F197" s="59" t="inlineStr">
        <is>
          <t>New building</t>
        </is>
      </c>
      <c r="G197" s="59" t="inlineStr">
        <is>
          <t>New Houses; Mechanical(MS); Plumbing(PS); Drain and Site Service</t>
        </is>
      </c>
      <c r="H197" s="59" t="inlineStr">
        <is>
          <t>SFD - Semi-Detached</t>
        </is>
      </c>
      <c r="I197" s="59" t="inlineStr">
        <is>
          <t>under inspection</t>
        </is>
      </c>
      <c r="J197" s="63" t="n">
        <v>45532</v>
      </c>
      <c r="K197" s="63" t="n">
        <v>45558</v>
      </c>
      <c r="L197" s="63" t="n">
        <v>45937</v>
      </c>
      <c r="M197" s="70" t="n">
        <v>450000</v>
      </c>
      <c r="N197" s="59" t="n"/>
      <c r="O197" s="64" t="n">
        <v>1</v>
      </c>
      <c r="P197" s="59" t="n"/>
      <c r="Q197" s="65" t="inlineStr">
        <is>
          <t>Plumbing - Proposed 3-storey semi-detached house</t>
        </is>
      </c>
      <c r="R197" s="61" t="inlineStr">
        <is>
          <t>Map</t>
        </is>
      </c>
      <c r="S197" s="61" t="inlineStr">
        <is>
          <t>Raw data</t>
        </is>
      </c>
    </row>
    <row r="198" ht="29" customHeight="1">
      <c r="A198" s="59" t="inlineStr">
        <is>
          <t>65 Bristol Ave</t>
        </is>
      </c>
      <c r="B198" s="60" t="n">
        <v>15</v>
      </c>
      <c r="C198" s="59" t="inlineStr">
        <is>
          <t>61 Bristol Ave</t>
        </is>
      </c>
      <c r="D198" s="59" t="inlineStr">
        <is>
          <t>24 208231</t>
        </is>
      </c>
      <c r="E198" s="61" t="inlineStr">
        <is>
          <t>Check permit status</t>
        </is>
      </c>
      <c r="F198" s="59" t="inlineStr">
        <is>
          <t>Demolition</t>
        </is>
      </c>
      <c r="G198" s="59" t="inlineStr">
        <is>
          <t>Demolition Folder (DM)</t>
        </is>
      </c>
      <c r="H198" s="59" t="inlineStr">
        <is>
          <t>SFD - Semi-Detached</t>
        </is>
      </c>
      <c r="I198" s="59" t="inlineStr">
        <is>
          <t>issued</t>
        </is>
      </c>
      <c r="J198" s="63" t="n">
        <v>45540</v>
      </c>
      <c r="K198" s="63" t="n">
        <v>45558</v>
      </c>
      <c r="L198" s="63" t="n"/>
      <c r="M198" s="70" t="n"/>
      <c r="N198" s="59" t="inlineStr">
        <is>
          <t>Unreliable (zero or out of band)</t>
        </is>
      </c>
      <c r="O198" s="64" t="n"/>
      <c r="P198" s="59" t="n"/>
      <c r="Q198" s="65" t="inlineStr">
        <is>
          <t>Proposal for demolishing existing SFD - semi detached and construct a 3 storey Semi-detached</t>
        </is>
      </c>
      <c r="R198" s="61" t="inlineStr">
        <is>
          <t>Map</t>
        </is>
      </c>
      <c r="S198" s="61" t="inlineStr">
        <is>
          <t>Raw data</t>
        </is>
      </c>
    </row>
    <row r="199" ht="55" customHeight="1">
      <c r="A199" s="59" t="inlineStr">
        <is>
          <t>65 Bristol Ave</t>
        </is>
      </c>
      <c r="B199" s="60" t="n">
        <v>16</v>
      </c>
      <c r="C199" s="59" t="inlineStr">
        <is>
          <t>59 Bristol Ave</t>
        </is>
      </c>
      <c r="D199" s="59" t="inlineStr">
        <is>
          <t>24 205007</t>
        </is>
      </c>
      <c r="E199" s="61" t="inlineStr">
        <is>
          <t>Check permit status</t>
        </is>
      </c>
      <c r="F199" s="59" t="inlineStr">
        <is>
          <t>New building</t>
        </is>
      </c>
      <c r="G199" s="59" t="inlineStr">
        <is>
          <t>New Houses; Mechanical(MS); Plumbing(PS); Drain and Site Service</t>
        </is>
      </c>
      <c r="H199" s="59" t="inlineStr">
        <is>
          <t>SFD - Semi-Detached</t>
        </is>
      </c>
      <c r="I199" s="59" t="inlineStr">
        <is>
          <t>under inspection</t>
        </is>
      </c>
      <c r="J199" s="63" t="n">
        <v>45532</v>
      </c>
      <c r="K199" s="63" t="n">
        <v>45559</v>
      </c>
      <c r="L199" s="63" t="n">
        <v>45957</v>
      </c>
      <c r="M199" s="70" t="n">
        <v>450000</v>
      </c>
      <c r="N199" s="59" t="n"/>
      <c r="O199" s="64" t="n">
        <v>1</v>
      </c>
      <c r="P199" s="59" t="n"/>
      <c r="Q199" s="65" t="inlineStr">
        <is>
          <t>Plumbing - To construct a new three-storey semi-detached dwelling with a front covered porch, a rear ground floor patio, a front second storey patio, and a rear third storey roof patio. The existing shed in the rear yard will be maintained.</t>
        </is>
      </c>
      <c r="R199" s="61" t="inlineStr">
        <is>
          <t>Map</t>
        </is>
      </c>
      <c r="S199" s="61" t="inlineStr">
        <is>
          <t>Raw data</t>
        </is>
      </c>
    </row>
    <row r="200" ht="16" customHeight="1">
      <c r="A200" s="59" t="inlineStr">
        <is>
          <t>65 Bristol Ave</t>
        </is>
      </c>
      <c r="B200" s="60" t="n">
        <v>16</v>
      </c>
      <c r="C200" s="59" t="inlineStr">
        <is>
          <t>59 Bristol Ave</t>
        </is>
      </c>
      <c r="D200" s="59" t="inlineStr">
        <is>
          <t>24 205061</t>
        </is>
      </c>
      <c r="E200" s="61" t="inlineStr">
        <is>
          <t>Check permit status</t>
        </is>
      </c>
      <c r="F200" s="59" t="inlineStr">
        <is>
          <t>Demolition</t>
        </is>
      </c>
      <c r="G200" s="59" t="inlineStr">
        <is>
          <t>Demolition Folder (DM)</t>
        </is>
      </c>
      <c r="H200" s="59" t="inlineStr">
        <is>
          <t>SFD - Semi-Detached</t>
        </is>
      </c>
      <c r="I200" s="59" t="inlineStr">
        <is>
          <t>issued</t>
        </is>
      </c>
      <c r="J200" s="63" t="n">
        <v>45532</v>
      </c>
      <c r="K200" s="63" t="n">
        <v>45559</v>
      </c>
      <c r="L200" s="63" t="n"/>
      <c r="M200" s="70" t="n"/>
      <c r="N200" s="59" t="inlineStr">
        <is>
          <t>Unreliable (zero or out of band)</t>
        </is>
      </c>
      <c r="O200" s="64" t="n"/>
      <c r="P200" s="59" t="n"/>
      <c r="Q200" s="65" t="inlineStr">
        <is>
          <t>Demolish existing semi detached dwelling.</t>
        </is>
      </c>
      <c r="R200" s="61" t="inlineStr">
        <is>
          <t>Map</t>
        </is>
      </c>
      <c r="S200" s="61" t="inlineStr">
        <is>
          <t>Raw data</t>
        </is>
      </c>
    </row>
    <row r="201" ht="29" customHeight="1">
      <c r="A201" s="59" t="inlineStr">
        <is>
          <t>65 Bristol Ave</t>
        </is>
      </c>
      <c r="B201" s="60" t="n">
        <v>27</v>
      </c>
      <c r="C201" s="59" t="inlineStr">
        <is>
          <t>55 Bristol Ave</t>
        </is>
      </c>
      <c r="D201" s="59" t="inlineStr">
        <is>
          <t>21 163821</t>
        </is>
      </c>
      <c r="E201" s="61" t="inlineStr">
        <is>
          <t>Check permit status</t>
        </is>
      </c>
      <c r="F201" s="59" t="inlineStr">
        <is>
          <t>Addition or alteration</t>
        </is>
      </c>
      <c r="G201" s="59" t="inlineStr">
        <is>
          <t>Small Residential Projects</t>
        </is>
      </c>
      <c r="H201" s="59" t="inlineStr">
        <is>
          <t>3+ Unit - Semi-detached</t>
        </is>
      </c>
      <c r="I201" s="59" t="inlineStr">
        <is>
          <t>under inspection</t>
        </is>
      </c>
      <c r="J201" s="63" t="n">
        <v>44348</v>
      </c>
      <c r="K201" s="63" t="n">
        <v>44818</v>
      </c>
      <c r="L201" s="63" t="n"/>
      <c r="M201" s="70" t="n">
        <v>50000</v>
      </c>
      <c r="N201" s="59" t="n"/>
      <c r="O201" s="64" t="n">
        <v>1</v>
      </c>
      <c r="P201" s="59" t="n"/>
      <c r="Q201" s="65" t="inlineStr">
        <is>
          <t>Interior alterations to convert to three unit dwelling, basement entrance, deck and second floor balcony</t>
        </is>
      </c>
      <c r="R201" s="61" t="inlineStr">
        <is>
          <t>Map</t>
        </is>
      </c>
      <c r="S201" s="61" t="inlineStr">
        <is>
          <t>Raw data</t>
        </is>
      </c>
    </row>
    <row r="202" ht="29" customHeight="1">
      <c r="A202" s="59" t="inlineStr">
        <is>
          <t>65 Bristol Ave</t>
        </is>
      </c>
      <c r="B202" s="60" t="n">
        <v>37</v>
      </c>
      <c r="C202" s="59" t="inlineStr">
        <is>
          <t>77 Bristol Ave</t>
        </is>
      </c>
      <c r="D202" s="59" t="inlineStr">
        <is>
          <t>12 193063</t>
        </is>
      </c>
      <c r="E202" s="61" t="inlineStr">
        <is>
          <t>Check permit status</t>
        </is>
      </c>
      <c r="F202" s="59" t="inlineStr">
        <is>
          <t>Addition or alteration</t>
        </is>
      </c>
      <c r="G202" s="59" t="inlineStr">
        <is>
          <t>Small Residential Projects</t>
        </is>
      </c>
      <c r="H202" s="59" t="inlineStr">
        <is>
          <t>SFD - Detached</t>
        </is>
      </c>
      <c r="I202" s="59" t="inlineStr">
        <is>
          <t>closed</t>
        </is>
      </c>
      <c r="J202" s="63" t="n">
        <v>41074</v>
      </c>
      <c r="K202" s="63" t="n">
        <v>41086</v>
      </c>
      <c r="L202" s="63" t="n">
        <v>46283</v>
      </c>
      <c r="M202" s="70" t="n">
        <v>14000</v>
      </c>
      <c r="N202" s="59" t="n"/>
      <c r="O202" s="64" t="n"/>
      <c r="P202" s="59" t="n"/>
      <c r="Q202" s="65" t="inlineStr">
        <is>
          <t>Proposal to construct concrete deck with cold room and basement walk-out.</t>
        </is>
      </c>
      <c r="R202" s="61" t="inlineStr">
        <is>
          <t>Map</t>
        </is>
      </c>
      <c r="S202" s="61" t="inlineStr">
        <is>
          <t>Raw data</t>
        </is>
      </c>
    </row>
    <row r="203" ht="16" customHeight="1">
      <c r="A203" s="59" t="inlineStr">
        <is>
          <t>65 Bristol Ave</t>
        </is>
      </c>
      <c r="B203" s="60" t="n">
        <v>41</v>
      </c>
      <c r="C203" s="59" t="inlineStr">
        <is>
          <t>70 Bristol Ave</t>
        </is>
      </c>
      <c r="D203" s="59" t="inlineStr">
        <is>
          <t>10 168866</t>
        </is>
      </c>
      <c r="E203" s="61" t="inlineStr">
        <is>
          <t>Building records request</t>
        </is>
      </c>
      <c r="F203" s="59" t="inlineStr">
        <is>
          <t>Addition or alteration</t>
        </is>
      </c>
      <c r="G203" s="59" t="inlineStr">
        <is>
          <t>Small Residential Projects</t>
        </is>
      </c>
      <c r="H203" s="59" t="inlineStr">
        <is>
          <t>SFD - Detached</t>
        </is>
      </c>
      <c r="I203" s="59" t="inlineStr">
        <is>
          <t>under inspection</t>
        </is>
      </c>
      <c r="J203" s="63" t="n">
        <v>40302</v>
      </c>
      <c r="K203" s="63" t="n">
        <v>40304</v>
      </c>
      <c r="L203" s="63" t="n"/>
      <c r="M203" s="70" t="n">
        <v>8000</v>
      </c>
      <c r="N203" s="59" t="n"/>
      <c r="O203" s="64" t="n"/>
      <c r="P203" s="59" t="n"/>
      <c r="Q203" s="65" t="inlineStr">
        <is>
          <t>To demolish and reconstruct the garage at the rear of the property</t>
        </is>
      </c>
      <c r="R203" s="61" t="inlineStr">
        <is>
          <t>Map</t>
        </is>
      </c>
      <c r="S203" s="61" t="inlineStr">
        <is>
          <t>Raw data</t>
        </is>
      </c>
    </row>
    <row r="204" ht="29" customHeight="1">
      <c r="A204" s="59" t="inlineStr">
        <is>
          <t>65 Bristol Ave</t>
        </is>
      </c>
      <c r="B204" s="60" t="n">
        <v>41</v>
      </c>
      <c r="C204" s="59" t="inlineStr">
        <is>
          <t>58 Bristol Ave</t>
        </is>
      </c>
      <c r="D204" s="59" t="inlineStr">
        <is>
          <t>15 228619</t>
        </is>
      </c>
      <c r="E204" s="61" t="inlineStr">
        <is>
          <t>Building records request</t>
        </is>
      </c>
      <c r="F204" s="59" t="inlineStr">
        <is>
          <t>Addition or alteration</t>
        </is>
      </c>
      <c r="G204" s="59" t="inlineStr">
        <is>
          <t>Plumbing(PS); Small Residential Projects</t>
        </is>
      </c>
      <c r="H204" s="59" t="inlineStr">
        <is>
          <t>SFD - Detached</t>
        </is>
      </c>
      <c r="I204" s="59" t="inlineStr">
        <is>
          <t>cancelled</t>
        </is>
      </c>
      <c r="J204" s="63" t="n">
        <v>42272</v>
      </c>
      <c r="K204" s="63" t="n">
        <v>42312</v>
      </c>
      <c r="L204" s="63" t="n">
        <v>44621</v>
      </c>
      <c r="M204" s="70" t="n">
        <v>50000</v>
      </c>
      <c r="N204" s="59" t="n"/>
      <c r="O204" s="64" t="n"/>
      <c r="P204" s="59" t="n"/>
      <c r="Q204" s="65" t="inlineStr">
        <is>
          <t>Plumbing - Proposal for interior alterations to the ground floor of existing detached single family dwelling.</t>
        </is>
      </c>
      <c r="R204" s="61" t="inlineStr">
        <is>
          <t>Map</t>
        </is>
      </c>
      <c r="S204" s="61" t="inlineStr">
        <is>
          <t>Raw data</t>
        </is>
      </c>
    </row>
    <row r="205" ht="29" customHeight="1">
      <c r="A205" s="59" t="inlineStr">
        <is>
          <t>65 Bristol Ave</t>
        </is>
      </c>
      <c r="B205" s="60" t="n">
        <v>54</v>
      </c>
      <c r="C205" s="59" t="inlineStr">
        <is>
          <t>83 Bristol Ave</t>
        </is>
      </c>
      <c r="D205" s="59" t="inlineStr">
        <is>
          <t>23 203772</t>
        </is>
      </c>
      <c r="E205" s="61" t="inlineStr">
        <is>
          <t>Building records request</t>
        </is>
      </c>
      <c r="F205" s="59" t="inlineStr">
        <is>
          <t>Addition or alteration</t>
        </is>
      </c>
      <c r="G205" s="59" t="inlineStr">
        <is>
          <t>Small Residential Projects</t>
        </is>
      </c>
      <c r="H205" s="59" t="inlineStr">
        <is>
          <t>SFD - Semi-Detached</t>
        </is>
      </c>
      <c r="I205" s="59" t="inlineStr">
        <is>
          <t>closed</t>
        </is>
      </c>
      <c r="J205" s="63" t="n">
        <v>45187</v>
      </c>
      <c r="K205" s="63" t="n">
        <v>45229</v>
      </c>
      <c r="L205" s="63" t="n">
        <v>45702</v>
      </c>
      <c r="M205" s="70" t="n">
        <v>10000</v>
      </c>
      <c r="N205" s="59" t="n"/>
      <c r="O205" s="64" t="n"/>
      <c r="P205" s="59" t="n"/>
      <c r="Q205" s="65" t="inlineStr">
        <is>
          <t>GARAGE PARTIAL UNDERPINNING 4 LIN. METERS, NEW STEEL POST IN THE GARAGE</t>
        </is>
      </c>
      <c r="R205" s="61" t="inlineStr">
        <is>
          <t>Map</t>
        </is>
      </c>
      <c r="S205" s="61" t="inlineStr">
        <is>
          <t>Raw data</t>
        </is>
      </c>
    </row>
    <row r="206" ht="16" customHeight="1">
      <c r="A206" s="59" t="inlineStr">
        <is>
          <t>65 Bristol Ave</t>
        </is>
      </c>
      <c r="B206" s="60" t="n">
        <v>57</v>
      </c>
      <c r="C206" s="59" t="inlineStr">
        <is>
          <t>43 Bristol Ave</t>
        </is>
      </c>
      <c r="D206" s="59" t="inlineStr">
        <is>
          <t>26 156195</t>
        </is>
      </c>
      <c r="E206" s="61" t="inlineStr">
        <is>
          <t>Check permit status</t>
        </is>
      </c>
      <c r="F206" s="59" t="inlineStr">
        <is>
          <t>Addition or alteration</t>
        </is>
      </c>
      <c r="G206" s="59" t="inlineStr">
        <is>
          <t>Small Residential Projects</t>
        </is>
      </c>
      <c r="H206" s="59" t="inlineStr">
        <is>
          <t>SFD - Detached</t>
        </is>
      </c>
      <c r="I206" s="59" t="inlineStr">
        <is>
          <t>under inspection</t>
        </is>
      </c>
      <c r="J206" s="63" t="n">
        <v>46148</v>
      </c>
      <c r="K206" s="63" t="n">
        <v>46210</v>
      </c>
      <c r="L206" s="63" t="n"/>
      <c r="M206" s="70" t="n">
        <v>90000</v>
      </c>
      <c r="N206" s="59" t="n"/>
      <c r="O206" s="64" t="n"/>
      <c r="P206" s="59" t="n"/>
      <c r="Q206" s="65" t="inlineStr">
        <is>
          <t>Proposed interior alteration and addition</t>
        </is>
      </c>
      <c r="R206" s="61" t="inlineStr">
        <is>
          <t>Map</t>
        </is>
      </c>
      <c r="S206" s="61" t="inlineStr">
        <is>
          <t>Raw data</t>
        </is>
      </c>
    </row>
    <row r="207" ht="29" customHeight="1">
      <c r="A207" s="59" t="inlineStr">
        <is>
          <t>65 Bristol Ave</t>
        </is>
      </c>
      <c r="B207" s="60" t="n">
        <v>66</v>
      </c>
      <c r="C207" s="59" t="inlineStr">
        <is>
          <t>350 Bartlett Ave N</t>
        </is>
      </c>
      <c r="D207" s="59" t="inlineStr">
        <is>
          <t>19 144697</t>
        </is>
      </c>
      <c r="E207" s="61" t="inlineStr">
        <is>
          <t>Building records request</t>
        </is>
      </c>
      <c r="F207" s="59" t="inlineStr">
        <is>
          <t>Addition or alteration</t>
        </is>
      </c>
      <c r="G207" s="59" t="inlineStr">
        <is>
          <t>Plumbing(PS); Small Residential Projects</t>
        </is>
      </c>
      <c r="H207" s="59" t="inlineStr">
        <is>
          <t>SFD - Semi-Detached</t>
        </is>
      </c>
      <c r="I207" s="59" t="inlineStr">
        <is>
          <t>cancelled</t>
        </is>
      </c>
      <c r="J207" s="63" t="n">
        <v>43580</v>
      </c>
      <c r="K207" s="63" t="n">
        <v>43587</v>
      </c>
      <c r="L207" s="63" t="n">
        <v>44621</v>
      </c>
      <c r="M207" s="70" t="n">
        <v>30000</v>
      </c>
      <c r="N207" s="59" t="n"/>
      <c r="O207" s="64" t="n"/>
      <c r="P207" s="59" t="n"/>
      <c r="Q207" s="65" t="inlineStr">
        <is>
          <t>Plumbing - Proposed 2-storey addition to the existing semi-detached dwelling.</t>
        </is>
      </c>
      <c r="R207" s="61" t="inlineStr">
        <is>
          <t>Map</t>
        </is>
      </c>
      <c r="S207" s="61" t="inlineStr">
        <is>
          <t>Raw data</t>
        </is>
      </c>
    </row>
    <row r="208" ht="29" customHeight="1">
      <c r="A208" s="59" t="inlineStr">
        <is>
          <t>65 Bristol Ave</t>
        </is>
      </c>
      <c r="B208" s="60" t="n">
        <v>66</v>
      </c>
      <c r="C208" s="59" t="inlineStr">
        <is>
          <t>350 Bartlett Ave N</t>
        </is>
      </c>
      <c r="D208" s="59" t="inlineStr">
        <is>
          <t>22 127815</t>
        </is>
      </c>
      <c r="E208" s="61" t="inlineStr">
        <is>
          <t>Building records request</t>
        </is>
      </c>
      <c r="F208" s="59" t="inlineStr">
        <is>
          <t>Addition or alteration</t>
        </is>
      </c>
      <c r="G208" s="59" t="inlineStr">
        <is>
          <t>Mechanical(MS); Plumbing(PS); Small Residential Projects; Drain and Site Service</t>
        </is>
      </c>
      <c r="H208" s="59" t="inlineStr">
        <is>
          <t>SFD - Semi-Detached</t>
        </is>
      </c>
      <c r="I208" s="59" t="inlineStr">
        <is>
          <t>closed</t>
        </is>
      </c>
      <c r="J208" s="63" t="n">
        <v>44671</v>
      </c>
      <c r="K208" s="63" t="n">
        <v>44677</v>
      </c>
      <c r="L208" s="63" t="n">
        <v>46216</v>
      </c>
      <c r="M208" s="70" t="n">
        <v>30000</v>
      </c>
      <c r="N208" s="59" t="n"/>
      <c r="O208" s="64" t="n"/>
      <c r="P208" s="59" t="n"/>
      <c r="Q208" s="65" t="inlineStr">
        <is>
          <t>Rev02 : Proposed basement bathroom and rear canopyRev 01: Changes to include basement underpinning. PROPOSED TWO STOREY REAR ADDITION</t>
        </is>
      </c>
      <c r="R208" s="61" t="inlineStr">
        <is>
          <t>Map</t>
        </is>
      </c>
      <c r="S208" s="61" t="inlineStr">
        <is>
          <t>Raw data</t>
        </is>
      </c>
    </row>
    <row r="209" ht="16" customHeight="1">
      <c r="A209" s="59" t="inlineStr">
        <is>
          <t>65 Bristol Ave</t>
        </is>
      </c>
      <c r="B209" s="60" t="n">
        <v>68</v>
      </c>
      <c r="C209" s="59" t="inlineStr">
        <is>
          <t>44 Bristol Ave</t>
        </is>
      </c>
      <c r="D209" s="59" t="inlineStr">
        <is>
          <t>12 260120</t>
        </is>
      </c>
      <c r="E209" s="61" t="inlineStr">
        <is>
          <t>Building records request</t>
        </is>
      </c>
      <c r="F209" s="59" t="inlineStr">
        <is>
          <t>Addition or alteration</t>
        </is>
      </c>
      <c r="G209" s="59" t="inlineStr">
        <is>
          <t>Plumbing(PS); Small Residential Projects</t>
        </is>
      </c>
      <c r="H209" s="59" t="inlineStr">
        <is>
          <t>SFD - Semi-Detached</t>
        </is>
      </c>
      <c r="I209" s="59" t="inlineStr">
        <is>
          <t>closed</t>
        </is>
      </c>
      <c r="J209" s="63" t="n">
        <v>41191</v>
      </c>
      <c r="K209" s="63" t="n">
        <v>41192</v>
      </c>
      <c r="L209" s="63" t="n">
        <v>45874</v>
      </c>
      <c r="M209" s="70" t="n">
        <v>15000</v>
      </c>
      <c r="N209" s="59" t="n"/>
      <c r="O209" s="64" t="n"/>
      <c r="P209" s="59" t="n"/>
      <c r="Q209" s="65" t="inlineStr">
        <is>
          <t>Plumbing - Proposal to rebuild existing basement walkout</t>
        </is>
      </c>
      <c r="R209" s="61" t="inlineStr">
        <is>
          <t>Map</t>
        </is>
      </c>
      <c r="S209" s="61" t="inlineStr">
        <is>
          <t>Raw data</t>
        </is>
      </c>
    </row>
    <row r="210" ht="16" customHeight="1">
      <c r="A210" s="59" t="inlineStr">
        <is>
          <t>65 Bristol Ave</t>
        </is>
      </c>
      <c r="B210" s="60" t="n">
        <v>68</v>
      </c>
      <c r="C210" s="59" t="inlineStr">
        <is>
          <t>82 Bristol Ave</t>
        </is>
      </c>
      <c r="D210" s="59" t="inlineStr">
        <is>
          <t>17 214997</t>
        </is>
      </c>
      <c r="E210" s="61" t="inlineStr">
        <is>
          <t>Building records request</t>
        </is>
      </c>
      <c r="F210" s="59" t="inlineStr">
        <is>
          <t>Addition or alteration</t>
        </is>
      </c>
      <c r="G210" s="59" t="inlineStr">
        <is>
          <t>Small Residential Projects</t>
        </is>
      </c>
      <c r="H210" s="59" t="inlineStr">
        <is>
          <t>SFD - Detached</t>
        </is>
      </c>
      <c r="I210" s="59" t="inlineStr">
        <is>
          <t>closed</t>
        </is>
      </c>
      <c r="J210" s="63" t="n">
        <v>42958</v>
      </c>
      <c r="K210" s="63" t="n">
        <v>42971</v>
      </c>
      <c r="L210" s="63" t="n">
        <v>43158</v>
      </c>
      <c r="M210" s="70" t="n">
        <v>15000</v>
      </c>
      <c r="N210" s="59" t="n"/>
      <c r="O210" s="64" t="n"/>
      <c r="P210" s="59" t="n"/>
      <c r="Q210" s="65" t="inlineStr">
        <is>
          <t>PROPOSED FRONT VERANDAH AND NEW BASEMENT WALK-OUT</t>
        </is>
      </c>
      <c r="R210" s="61" t="inlineStr">
        <is>
          <t>Map</t>
        </is>
      </c>
      <c r="S210" s="61" t="inlineStr">
        <is>
          <t>Raw data</t>
        </is>
      </c>
    </row>
    <row r="211" ht="55" customHeight="1">
      <c r="A211" s="59" t="inlineStr">
        <is>
          <t>65 Bristol Ave</t>
        </is>
      </c>
      <c r="B211" s="60" t="n">
        <v>68</v>
      </c>
      <c r="C211" s="59" t="inlineStr">
        <is>
          <t>82 Bristol Ave</t>
        </is>
      </c>
      <c r="D211" s="59" t="inlineStr">
        <is>
          <t>17 238488</t>
        </is>
      </c>
      <c r="E211" s="61" t="inlineStr">
        <is>
          <t>Check permit status</t>
        </is>
      </c>
      <c r="F211" s="59" t="inlineStr">
        <is>
          <t>Addition or alteration</t>
        </is>
      </c>
      <c r="G211" s="59" t="inlineStr">
        <is>
          <t>Plumbing(PS); Small Residential Projects; Drain and Site Service</t>
        </is>
      </c>
      <c r="H211" s="59" t="inlineStr">
        <is>
          <t>SFD - Detached</t>
        </is>
      </c>
      <c r="I211" s="59" t="inlineStr">
        <is>
          <t>revocation pending</t>
        </is>
      </c>
      <c r="J211" s="63" t="n">
        <v>43003</v>
      </c>
      <c r="K211" s="63" t="n">
        <v>43026</v>
      </c>
      <c r="L211" s="63" t="n">
        <v>43306</v>
      </c>
      <c r="M211" s="70" t="n">
        <v>80000</v>
      </c>
      <c r="N211" s="59" t="n"/>
      <c r="O211" s="64" t="n"/>
      <c r="P211" s="59" t="n"/>
      <c r="Q211" s="65" t="inlineStr">
        <is>
          <t>REV 2: North side wall addition to align with existing house. Rev 1: To add a second storey over reconstructed one storey rear addition.PROPOSAL TO REBUILD EXISTING ONE STOREY REAR ADDITION WITH A BASEMENT WALKOUT.</t>
        </is>
      </c>
      <c r="R211" s="61" t="inlineStr">
        <is>
          <t>Map</t>
        </is>
      </c>
      <c r="S211" s="61" t="inlineStr">
        <is>
          <t>Raw data</t>
        </is>
      </c>
    </row>
    <row r="212" ht="16" customHeight="1">
      <c r="A212" s="59" t="inlineStr">
        <is>
          <t>65 Bristol Ave</t>
        </is>
      </c>
      <c r="B212" s="60" t="n">
        <v>68</v>
      </c>
      <c r="C212" s="59" t="inlineStr">
        <is>
          <t>82 Bristol Ave</t>
        </is>
      </c>
      <c r="D212" s="59" t="inlineStr">
        <is>
          <t>18 208112</t>
        </is>
      </c>
      <c r="E212" s="61" t="inlineStr">
        <is>
          <t>Building records request</t>
        </is>
      </c>
      <c r="F212" s="59" t="inlineStr">
        <is>
          <t>Addition or alteration</t>
        </is>
      </c>
      <c r="G212" s="59" t="inlineStr">
        <is>
          <t>Small Residential Projects</t>
        </is>
      </c>
      <c r="H212" s="59" t="inlineStr">
        <is>
          <t>SFD - Detached</t>
        </is>
      </c>
      <c r="I212" s="59" t="inlineStr">
        <is>
          <t>cancelled</t>
        </is>
      </c>
      <c r="J212" s="63" t="n">
        <v>43325</v>
      </c>
      <c r="K212" s="63" t="n"/>
      <c r="L212" s="63" t="n">
        <v>44665</v>
      </c>
      <c r="M212" s="70" t="n">
        <v>40000</v>
      </c>
      <c r="N212" s="59" t="n"/>
      <c r="O212" s="64" t="n"/>
      <c r="P212" s="59" t="n"/>
      <c r="Q212" s="65" t="inlineStr">
        <is>
          <t>Proposal to rebuild existing 2 car garage</t>
        </is>
      </c>
      <c r="R212" s="61" t="inlineStr">
        <is>
          <t>Map</t>
        </is>
      </c>
      <c r="S212" s="61" t="inlineStr">
        <is>
          <t>Raw data</t>
        </is>
      </c>
    </row>
    <row r="213" ht="29" customHeight="1">
      <c r="A213" s="59" t="inlineStr">
        <is>
          <t>65 Bristol Ave</t>
        </is>
      </c>
      <c r="B213" s="60" t="n">
        <v>68</v>
      </c>
      <c r="C213" s="59" t="inlineStr">
        <is>
          <t>348 Bartlett Ave N</t>
        </is>
      </c>
      <c r="D213" s="59" t="inlineStr">
        <is>
          <t>22 160381</t>
        </is>
      </c>
      <c r="E213" s="61" t="inlineStr">
        <is>
          <t>Building records request</t>
        </is>
      </c>
      <c r="F213" s="59" t="inlineStr">
        <is>
          <t>Addition or alteration</t>
        </is>
      </c>
      <c r="G213" s="59" t="inlineStr">
        <is>
          <t>Small Residential Projects</t>
        </is>
      </c>
      <c r="H213" s="59" t="inlineStr">
        <is>
          <t>SFD - Semi-Detached</t>
        </is>
      </c>
      <c r="I213" s="59" t="inlineStr">
        <is>
          <t>closed</t>
        </is>
      </c>
      <c r="J213" s="63" t="n">
        <v>44722</v>
      </c>
      <c r="K213" s="63" t="n">
        <v>44732</v>
      </c>
      <c r="L213" s="63" t="n">
        <v>45345</v>
      </c>
      <c r="M213" s="70" t="n"/>
      <c r="N213" s="59" t="inlineStr">
        <is>
          <t>Unreliable (zero or out of band)</t>
        </is>
      </c>
      <c r="O213" s="64" t="n"/>
      <c r="P213" s="59" t="n"/>
      <c r="Q213" s="65" t="inlineStr">
        <is>
          <t>Party wall admin permit for work being done at 350 Bartlett Ave N permit #22 127815 BLD 01 SR.</t>
        </is>
      </c>
      <c r="R213" s="61" t="inlineStr">
        <is>
          <t>Map</t>
        </is>
      </c>
      <c r="S213" s="61" t="inlineStr">
        <is>
          <t>Raw data</t>
        </is>
      </c>
    </row>
    <row r="214" ht="16" customHeight="1">
      <c r="A214" s="59" t="inlineStr">
        <is>
          <t>65 Bristol Ave</t>
        </is>
      </c>
      <c r="B214" s="60" t="n">
        <v>71</v>
      </c>
      <c r="C214" s="59" t="inlineStr">
        <is>
          <t>344 Bartlett Ave N</t>
        </is>
      </c>
      <c r="D214" s="59" t="inlineStr">
        <is>
          <t>11 278026</t>
        </is>
      </c>
      <c r="E214" s="61" t="inlineStr">
        <is>
          <t>Building records request</t>
        </is>
      </c>
      <c r="F214" s="59" t="inlineStr">
        <is>
          <t>Addition or alteration</t>
        </is>
      </c>
      <c r="G214" s="59" t="inlineStr">
        <is>
          <t>Small Residential Projects</t>
        </is>
      </c>
      <c r="H214" s="59" t="inlineStr">
        <is>
          <t>SFD - Semi-Detached</t>
        </is>
      </c>
      <c r="I214" s="59" t="inlineStr">
        <is>
          <t>closed</t>
        </is>
      </c>
      <c r="J214" s="63" t="n">
        <v>40806</v>
      </c>
      <c r="K214" s="63" t="n">
        <v>40836</v>
      </c>
      <c r="L214" s="63" t="n">
        <v>43606</v>
      </c>
      <c r="M214" s="70" t="n"/>
      <c r="N214" s="59" t="inlineStr">
        <is>
          <t>Unreliable (zero or out of band)</t>
        </is>
      </c>
      <c r="O214" s="64" t="n"/>
      <c r="P214" s="59" t="n"/>
      <c r="Q214" s="65" t="inlineStr">
        <is>
          <t>admin file for party wall (inconjuction with 342 Bartlett 11-206467)</t>
        </is>
      </c>
      <c r="R214" s="61" t="inlineStr">
        <is>
          <t>Map</t>
        </is>
      </c>
      <c r="S214" s="61" t="inlineStr">
        <is>
          <t>Raw data</t>
        </is>
      </c>
    </row>
    <row r="215" ht="68" customHeight="1">
      <c r="A215" s="59" t="inlineStr">
        <is>
          <t>65 Bristol Ave</t>
        </is>
      </c>
      <c r="B215" s="60" t="n">
        <v>71</v>
      </c>
      <c r="C215" s="59" t="inlineStr">
        <is>
          <t>344 Bartlett Ave N</t>
        </is>
      </c>
      <c r="D215" s="59" t="inlineStr">
        <is>
          <t>18 110283</t>
        </is>
      </c>
      <c r="E215" s="61" t="inlineStr">
        <is>
          <t>Building records request</t>
        </is>
      </c>
      <c r="F215" s="59" t="inlineStr">
        <is>
          <t>Addition or alteration</t>
        </is>
      </c>
      <c r="G215" s="59" t="inlineStr">
        <is>
          <t>Mechanical(MS); Plumbing(PS); Small Residential Projects</t>
        </is>
      </c>
      <c r="H215" s="59" t="inlineStr">
        <is>
          <t>2 Unit - Semi-detached</t>
        </is>
      </c>
      <c r="I215" s="59" t="inlineStr">
        <is>
          <t>closed</t>
        </is>
      </c>
      <c r="J215" s="63" t="n">
        <v>43129</v>
      </c>
      <c r="K215" s="63" t="n">
        <v>43188</v>
      </c>
      <c r="L215" s="63" t="n">
        <v>43606</v>
      </c>
      <c r="M215" s="70" t="n">
        <v>100000</v>
      </c>
      <c r="N215" s="59" t="n"/>
      <c r="O215" s="64" t="n">
        <v>1</v>
      </c>
      <c r="P215" s="59" t="n"/>
      <c r="Q215" s="65" t="inlineStr">
        <is>
          <t>Demolish exiting rear addition and build 1 storey rear addition /Interior alterations/repair, include 1 structural reinforcing of ground floor currently structurally in poor condition 2) Demolition and rebuild of existing extension at back of house ( in poor condition) 3) Conversion of interior to include a secondary suite.</t>
        </is>
      </c>
      <c r="R215" s="61" t="inlineStr">
        <is>
          <t>Map</t>
        </is>
      </c>
      <c r="S215" s="61" t="inlineStr">
        <is>
          <t>Raw data</t>
        </is>
      </c>
    </row>
    <row r="216" ht="16" customHeight="1">
      <c r="A216" s="59" t="inlineStr">
        <is>
          <t>65 Bristol Ave</t>
        </is>
      </c>
      <c r="B216" s="60" t="n">
        <v>71</v>
      </c>
      <c r="C216" s="59" t="inlineStr">
        <is>
          <t>39 Bristol Ave</t>
        </is>
      </c>
      <c r="D216" s="59" t="inlineStr">
        <is>
          <t>22 159322</t>
        </is>
      </c>
      <c r="E216" s="61" t="inlineStr">
        <is>
          <t>Building records request</t>
        </is>
      </c>
      <c r="F216" s="59" t="inlineStr">
        <is>
          <t>Other</t>
        </is>
      </c>
      <c r="G216" s="59" t="inlineStr">
        <is>
          <t>Drain and Site Service</t>
        </is>
      </c>
      <c r="H216" s="59" t="inlineStr">
        <is>
          <t>SFD - Detached</t>
        </is>
      </c>
      <c r="I216" s="59" t="inlineStr">
        <is>
          <t>closed</t>
        </is>
      </c>
      <c r="J216" s="63" t="n">
        <v>44721</v>
      </c>
      <c r="K216" s="63" t="n">
        <v>44725</v>
      </c>
      <c r="L216" s="63" t="n">
        <v>44741</v>
      </c>
      <c r="M216" s="70" t="n"/>
      <c r="N216" s="59" t="inlineStr">
        <is>
          <t>Not declared</t>
        </is>
      </c>
      <c r="O216" s="64" t="n"/>
      <c r="P216" s="59" t="n"/>
      <c r="Q216" s="65" t="inlineStr">
        <is>
          <t>Install a back water valve</t>
        </is>
      </c>
      <c r="R216" s="61" t="inlineStr">
        <is>
          <t>Map</t>
        </is>
      </c>
      <c r="S216" s="61" t="inlineStr">
        <is>
          <t>Raw data</t>
        </is>
      </c>
    </row>
    <row r="217" ht="16" customHeight="1">
      <c r="A217" s="59" t="inlineStr">
        <is>
          <t>65 Bristol Ave</t>
        </is>
      </c>
      <c r="B217" s="60" t="n">
        <v>74</v>
      </c>
      <c r="C217" s="59" t="inlineStr">
        <is>
          <t>91 Bristol Ave</t>
        </is>
      </c>
      <c r="D217" s="59" t="inlineStr">
        <is>
          <t>08 178788</t>
        </is>
      </c>
      <c r="E217" s="61" t="inlineStr">
        <is>
          <t>Building records request</t>
        </is>
      </c>
      <c r="F217" s="59" t="inlineStr">
        <is>
          <t>Addition or alteration</t>
        </is>
      </c>
      <c r="G217" s="59" t="inlineStr">
        <is>
          <t>Small Residential Projects</t>
        </is>
      </c>
      <c r="H217" s="59" t="inlineStr">
        <is>
          <t>SFD - Semi-Detached</t>
        </is>
      </c>
      <c r="I217" s="59" t="inlineStr">
        <is>
          <t>under inspection</t>
        </is>
      </c>
      <c r="J217" s="63" t="n">
        <v>39636</v>
      </c>
      <c r="K217" s="63" t="n">
        <v>39644</v>
      </c>
      <c r="L217" s="63" t="n"/>
      <c r="M217" s="70" t="n">
        <v>10000</v>
      </c>
      <c r="N217" s="59" t="n"/>
      <c r="O217" s="64" t="n"/>
      <c r="P217" s="59" t="n"/>
      <c r="Q217" s="65" t="inlineStr">
        <is>
          <t>To construct a detached rear yard garage</t>
        </is>
      </c>
      <c r="R217" s="61" t="inlineStr">
        <is>
          <t>Map</t>
        </is>
      </c>
      <c r="S217" s="61" t="inlineStr">
        <is>
          <t>Raw data</t>
        </is>
      </c>
    </row>
    <row r="218" ht="16" customHeight="1">
      <c r="A218" s="59" t="inlineStr">
        <is>
          <t>65 Bristol Ave</t>
        </is>
      </c>
      <c r="B218" s="60" t="n">
        <v>74</v>
      </c>
      <c r="C218" s="59" t="inlineStr">
        <is>
          <t>91 Bristol Ave</t>
        </is>
      </c>
      <c r="D218" s="59" t="inlineStr">
        <is>
          <t>17 174537</t>
        </is>
      </c>
      <c r="E218" s="61" t="inlineStr">
        <is>
          <t>Building records request</t>
        </is>
      </c>
      <c r="F218" s="59" t="inlineStr">
        <is>
          <t>Other</t>
        </is>
      </c>
      <c r="G218" s="59" t="inlineStr">
        <is>
          <t>Drain and Site Service</t>
        </is>
      </c>
      <c r="H218" s="59" t="inlineStr">
        <is>
          <t>SFD - Semi-Detached</t>
        </is>
      </c>
      <c r="I218" s="59" t="inlineStr">
        <is>
          <t>closed</t>
        </is>
      </c>
      <c r="J218" s="63" t="n">
        <v>42892</v>
      </c>
      <c r="K218" s="63" t="n">
        <v>42892</v>
      </c>
      <c r="L218" s="63" t="n">
        <v>42894</v>
      </c>
      <c r="M218" s="70" t="n"/>
      <c r="N218" s="59" t="inlineStr">
        <is>
          <t>Not declared</t>
        </is>
      </c>
      <c r="O218" s="64" t="n"/>
      <c r="P218" s="59" t="n"/>
      <c r="Q218" s="65" t="inlineStr">
        <is>
          <t>Proposal to install back water valve in main line.</t>
        </is>
      </c>
      <c r="R218" s="61" t="inlineStr">
        <is>
          <t>Map</t>
        </is>
      </c>
      <c r="S218" s="61" t="inlineStr">
        <is>
          <t>Raw data</t>
        </is>
      </c>
    </row>
    <row r="219" ht="42" customHeight="1">
      <c r="A219" s="59" t="inlineStr">
        <is>
          <t>65 Bristol Ave</t>
        </is>
      </c>
      <c r="B219" s="60" t="n">
        <v>76</v>
      </c>
      <c r="C219" s="59" t="inlineStr">
        <is>
          <t>342 Bartlett Ave N</t>
        </is>
      </c>
      <c r="D219" s="59" t="inlineStr">
        <is>
          <t>11 206467</t>
        </is>
      </c>
      <c r="E219" s="61" t="inlineStr">
        <is>
          <t>Building records request</t>
        </is>
      </c>
      <c r="F219" s="59" t="inlineStr">
        <is>
          <t>Addition or alteration</t>
        </is>
      </c>
      <c r="G219" s="59" t="inlineStr">
        <is>
          <t>Small Residential Projects</t>
        </is>
      </c>
      <c r="H219" s="59" t="inlineStr">
        <is>
          <t>SFD - Semi-Detached</t>
        </is>
      </c>
      <c r="I219" s="59" t="inlineStr">
        <is>
          <t>with a revision issued</t>
        </is>
      </c>
      <c r="J219" s="63" t="n">
        <v>40806</v>
      </c>
      <c r="K219" s="63" t="n">
        <v>40836</v>
      </c>
      <c r="L219" s="63" t="n"/>
      <c r="M219" s="70" t="n">
        <v>5000</v>
      </c>
      <c r="N219" s="59" t="n"/>
      <c r="O219" s="64" t="n"/>
      <c r="P219" s="59" t="n"/>
      <c r="Q219" s="65" t="inlineStr">
        <is>
          <t>REVISION #1 PLACING NEW REINFORCED CONCRETE FOOTINGS AND FLOOR SLAB UNDER ENTIRE HOUSEProposed partial underpinning of existing foundation to an existing (2) storey semi-detached single family dwelling.</t>
        </is>
      </c>
      <c r="R219" s="61" t="inlineStr">
        <is>
          <t>Map</t>
        </is>
      </c>
      <c r="S219" s="61" t="inlineStr">
        <is>
          <t>Raw data</t>
        </is>
      </c>
    </row>
    <row r="220" ht="29" customHeight="1">
      <c r="A220" s="59" t="inlineStr">
        <is>
          <t>65 Bristol Ave</t>
        </is>
      </c>
      <c r="B220" s="60" t="n">
        <v>76</v>
      </c>
      <c r="C220" s="59" t="inlineStr">
        <is>
          <t>342 Bartlett Ave N</t>
        </is>
      </c>
      <c r="D220" s="59" t="inlineStr">
        <is>
          <t>18 111028</t>
        </is>
      </c>
      <c r="E220" s="61" t="inlineStr">
        <is>
          <t>Building records request</t>
        </is>
      </c>
      <c r="F220" s="59" t="inlineStr">
        <is>
          <t>Addition or alteration</t>
        </is>
      </c>
      <c r="G220" s="59" t="inlineStr">
        <is>
          <t>Small Residential Projects</t>
        </is>
      </c>
      <c r="H220" s="59" t="inlineStr">
        <is>
          <t>SFD - Semi-Detached</t>
        </is>
      </c>
      <c r="I220" s="59" t="inlineStr">
        <is>
          <t>closed</t>
        </is>
      </c>
      <c r="J220" s="63" t="n">
        <v>43129</v>
      </c>
      <c r="K220" s="63" t="n">
        <v>43966</v>
      </c>
      <c r="L220" s="63" t="n">
        <v>44263</v>
      </c>
      <c r="M220" s="70" t="n"/>
      <c r="N220" s="59" t="inlineStr">
        <is>
          <t>Unreliable (zero or out of band)</t>
        </is>
      </c>
      <c r="O220" s="64" t="n"/>
      <c r="P220" s="59" t="n"/>
      <c r="Q220" s="65" t="inlineStr">
        <is>
          <t>Party Wall Administrative Permit application as part of the full building permit application for 344 Bartlett Ave N. (18-110283)</t>
        </is>
      </c>
      <c r="R220" s="61" t="inlineStr">
        <is>
          <t>Map</t>
        </is>
      </c>
      <c r="S220" s="61" t="inlineStr">
        <is>
          <t>Raw data</t>
        </is>
      </c>
    </row>
    <row r="221" ht="42" customHeight="1">
      <c r="A221" s="59" t="inlineStr">
        <is>
          <t>65 Bristol Ave</t>
        </is>
      </c>
      <c r="B221" s="60" t="n">
        <v>80</v>
      </c>
      <c r="C221" s="59" t="inlineStr">
        <is>
          <t>340 Bartlett Ave N</t>
        </is>
      </c>
      <c r="D221" s="59" t="inlineStr">
        <is>
          <t>10 231223</t>
        </is>
      </c>
      <c r="E221" s="61" t="inlineStr">
        <is>
          <t>Building records request</t>
        </is>
      </c>
      <c r="F221" s="59" t="inlineStr">
        <is>
          <t>Addition or alteration</t>
        </is>
      </c>
      <c r="G221" s="59" t="inlineStr">
        <is>
          <t>Small Residential Projects</t>
        </is>
      </c>
      <c r="H221" s="59" t="inlineStr">
        <is>
          <t>SFD - Detached</t>
        </is>
      </c>
      <c r="I221" s="59" t="inlineStr">
        <is>
          <t>closed</t>
        </is>
      </c>
      <c r="J221" s="63" t="n">
        <v>40820</v>
      </c>
      <c r="K221" s="63" t="n">
        <v>40877</v>
      </c>
      <c r="L221" s="63" t="n">
        <v>46219</v>
      </c>
      <c r="M221" s="70" t="n">
        <v>60000</v>
      </c>
      <c r="N221" s="59" t="n"/>
      <c r="O221" s="64" t="n"/>
      <c r="P221" s="59" t="n"/>
      <c r="Q221" s="65" t="inlineStr">
        <is>
          <t>**Revision 01 - Revised to enlarge opening into addition. Construct a rear one storey additions to single family dwelling on existing foundation</t>
        </is>
      </c>
      <c r="R221" s="61" t="inlineStr">
        <is>
          <t>Map</t>
        </is>
      </c>
      <c r="S221" s="61" t="inlineStr">
        <is>
          <t>Raw data</t>
        </is>
      </c>
    </row>
    <row r="222" ht="29" customHeight="1">
      <c r="A222" s="59" t="inlineStr">
        <is>
          <t>65 Bristol Ave</t>
        </is>
      </c>
      <c r="B222" s="60" t="n">
        <v>85</v>
      </c>
      <c r="C222" s="59" t="inlineStr">
        <is>
          <t>88 Bristol Ave</t>
        </is>
      </c>
      <c r="D222" s="59" t="inlineStr">
        <is>
          <t>24 253467</t>
        </is>
      </c>
      <c r="E222" s="61" t="inlineStr">
        <is>
          <t>Building records request</t>
        </is>
      </c>
      <c r="F222" s="59" t="inlineStr">
        <is>
          <t>Addition or alteration</t>
        </is>
      </c>
      <c r="G222" s="59" t="inlineStr">
        <is>
          <t>Plumbing(PS); Small Residential Projects; Drain and Site Service</t>
        </is>
      </c>
      <c r="H222" s="59" t="inlineStr">
        <is>
          <t>3+ Unit - Semi-detached</t>
        </is>
      </c>
      <c r="I222" s="59" t="inlineStr">
        <is>
          <t>closed</t>
        </is>
      </c>
      <c r="J222" s="63" t="n">
        <v>45650</v>
      </c>
      <c r="K222" s="63" t="n">
        <v>45695</v>
      </c>
      <c r="L222" s="63" t="n">
        <v>46009</v>
      </c>
      <c r="M222" s="70" t="n">
        <v>100000</v>
      </c>
      <c r="N222" s="59" t="n"/>
      <c r="O222" s="64" t="n">
        <v>2</v>
      </c>
      <c r="P222" s="59" t="n"/>
      <c r="Q222" s="65" t="inlineStr">
        <is>
          <t>Plumbing - Proposal for interior alterations and coverting to 4 Unit -Semi Detached</t>
        </is>
      </c>
      <c r="R222" s="61" t="inlineStr">
        <is>
          <t>Map</t>
        </is>
      </c>
      <c r="S222" s="61" t="inlineStr">
        <is>
          <t>Raw data</t>
        </is>
      </c>
    </row>
    <row r="223" ht="16" customHeight="1">
      <c r="A223" s="59" t="inlineStr">
        <is>
          <t>65 Bristol Ave</t>
        </is>
      </c>
      <c r="B223" s="60" t="n">
        <v>92</v>
      </c>
      <c r="C223" s="59" t="inlineStr">
        <is>
          <t>92 Bristol Ave</t>
        </is>
      </c>
      <c r="D223" s="59" t="inlineStr">
        <is>
          <t>12 106722</t>
        </is>
      </c>
      <c r="E223" s="61" t="inlineStr">
        <is>
          <t>Building records request</t>
        </is>
      </c>
      <c r="F223" s="59" t="inlineStr">
        <is>
          <t>Addition or alteration</t>
        </is>
      </c>
      <c r="G223" s="59" t="inlineStr">
        <is>
          <t>Small Residential Projects</t>
        </is>
      </c>
      <c r="H223" s="59" t="inlineStr">
        <is>
          <t>SFD - Detached</t>
        </is>
      </c>
      <c r="I223" s="59" t="inlineStr">
        <is>
          <t>closed</t>
        </is>
      </c>
      <c r="J223" s="63" t="n">
        <v>40924</v>
      </c>
      <c r="K223" s="63" t="n">
        <v>43000</v>
      </c>
      <c r="L223" s="63" t="n">
        <v>46009</v>
      </c>
      <c r="M223" s="70" t="n">
        <v>15000</v>
      </c>
      <c r="N223" s="59" t="n"/>
      <c r="O223" s="64" t="n"/>
      <c r="P223" s="59" t="n"/>
      <c r="Q223" s="65" t="inlineStr">
        <is>
          <t>To construct a detached garage at the rear of the property.</t>
        </is>
      </c>
      <c r="R223" s="61" t="inlineStr">
        <is>
          <t>Map</t>
        </is>
      </c>
      <c r="S223" s="61" t="inlineStr">
        <is>
          <t>Raw data</t>
        </is>
      </c>
    </row>
    <row r="224" ht="29" customHeight="1">
      <c r="A224" s="59" t="inlineStr">
        <is>
          <t>65 Bristol Ave</t>
        </is>
      </c>
      <c r="B224" s="60" t="n">
        <v>92</v>
      </c>
      <c r="C224" s="59" t="inlineStr">
        <is>
          <t>92 Bristol Ave</t>
        </is>
      </c>
      <c r="D224" s="59" t="inlineStr">
        <is>
          <t>23 212708</t>
        </is>
      </c>
      <c r="E224" s="61" t="inlineStr">
        <is>
          <t>Building records request</t>
        </is>
      </c>
      <c r="F224" s="59" t="inlineStr">
        <is>
          <t>Addition or alteration</t>
        </is>
      </c>
      <c r="G224" s="59" t="inlineStr">
        <is>
          <t>Mechanical(MS); Plumbing(PS); Small Residential Projects; Drain and Site Service</t>
        </is>
      </c>
      <c r="H224" s="59" t="inlineStr">
        <is>
          <t>Laneway / Rear Yard Suite</t>
        </is>
      </c>
      <c r="I224" s="59" t="inlineStr">
        <is>
          <t>closed</t>
        </is>
      </c>
      <c r="J224" s="63" t="n">
        <v>45209</v>
      </c>
      <c r="K224" s="63" t="n">
        <v>45229</v>
      </c>
      <c r="L224" s="63" t="n">
        <v>45513</v>
      </c>
      <c r="M224" s="70" t="n">
        <v>300000</v>
      </c>
      <c r="N224" s="59" t="n"/>
      <c r="O224" s="64" t="n">
        <v>1</v>
      </c>
      <c r="P224" s="59" t="n"/>
      <c r="Q224" s="65" t="inlineStr">
        <is>
          <t>Plumbing - Proposal to remove existing detached garage and construct a new two storey laneway suite.</t>
        </is>
      </c>
      <c r="R224" s="61" t="inlineStr">
        <is>
          <t>Map</t>
        </is>
      </c>
      <c r="S224" s="61" t="inlineStr">
        <is>
          <t>Raw data</t>
        </is>
      </c>
    </row>
    <row r="225" ht="16" customHeight="1">
      <c r="A225" s="59" t="inlineStr">
        <is>
          <t>65 Bristol Ave</t>
        </is>
      </c>
      <c r="B225" s="60" t="n">
        <v>97</v>
      </c>
      <c r="C225" s="59" t="inlineStr">
        <is>
          <t>94 Bristol Ave</t>
        </is>
      </c>
      <c r="D225" s="59" t="inlineStr">
        <is>
          <t>14 224851</t>
        </is>
      </c>
      <c r="E225" s="61" t="inlineStr">
        <is>
          <t>Building records request</t>
        </is>
      </c>
      <c r="F225" s="59" t="inlineStr">
        <is>
          <t>Addition or alteration</t>
        </is>
      </c>
      <c r="G225" s="59" t="inlineStr">
        <is>
          <t>Small Residential Projects</t>
        </is>
      </c>
      <c r="H225" s="59" t="inlineStr">
        <is>
          <t>SFD - Semi-Detached</t>
        </is>
      </c>
      <c r="I225" s="59" t="inlineStr">
        <is>
          <t>under inspection</t>
        </is>
      </c>
      <c r="J225" s="63" t="n">
        <v>41901</v>
      </c>
      <c r="K225" s="63" t="n">
        <v>41908</v>
      </c>
      <c r="L225" s="63" t="n"/>
      <c r="M225" s="70" t="n">
        <v>15000</v>
      </c>
      <c r="N225" s="59" t="n"/>
      <c r="O225" s="64" t="n"/>
      <c r="P225" s="59" t="n"/>
      <c r="Q225" s="65" t="inlineStr">
        <is>
          <t>Proposal to re-construct covered front porch with cold room below.</t>
        </is>
      </c>
      <c r="R225" s="61" t="inlineStr">
        <is>
          <t>Map</t>
        </is>
      </c>
      <c r="S225" s="61" t="inlineStr">
        <is>
          <t>Raw data</t>
        </is>
      </c>
    </row>
    <row r="226" ht="29" customHeight="1">
      <c r="A226" s="59" t="inlineStr">
        <is>
          <t>65 Bristol Ave</t>
        </is>
      </c>
      <c r="B226" s="60" t="n">
        <v>97</v>
      </c>
      <c r="C226" s="59" t="inlineStr">
        <is>
          <t>94 Bristol Ave</t>
        </is>
      </c>
      <c r="D226" s="59" t="inlineStr">
        <is>
          <t>98 019619</t>
        </is>
      </c>
      <c r="E226" s="61" t="inlineStr">
        <is>
          <t>Building records request</t>
        </is>
      </c>
      <c r="F226" s="59" t="inlineStr">
        <is>
          <t>Addition or alteration</t>
        </is>
      </c>
      <c r="G226" s="59" t="inlineStr">
        <is>
          <t>Small Residential Projects</t>
        </is>
      </c>
      <c r="H226" s="59" t="inlineStr">
        <is>
          <t>Unknown</t>
        </is>
      </c>
      <c r="I226" s="59" t="inlineStr">
        <is>
          <t>under inspection</t>
        </is>
      </c>
      <c r="J226" s="63" t="n">
        <v>36005</v>
      </c>
      <c r="K226" s="63" t="n">
        <v>36005</v>
      </c>
      <c r="L226" s="63" t="n"/>
      <c r="M226" s="70" t="n">
        <v>15000</v>
      </c>
      <c r="N226" s="59" t="n"/>
      <c r="O226" s="64" t="n"/>
      <c r="P226" s="59" t="n"/>
      <c r="Q226" s="65" t="inlineStr">
        <is>
          <t>ERECT 1 STOREY AND BASEMENT ADDITION AT REAR AND DECKM AT REAR ALSO BASEMENT ENTRANCE AT REAR</t>
        </is>
      </c>
      <c r="R226" s="61" t="inlineStr">
        <is>
          <t>Map</t>
        </is>
      </c>
      <c r="S226" s="61" t="inlineStr">
        <is>
          <t>Raw data</t>
        </is>
      </c>
    </row>
    <row r="227" ht="16" customHeight="1">
      <c r="A227" s="59" t="inlineStr">
        <is>
          <t>65 Bristol Ave</t>
        </is>
      </c>
      <c r="B227" s="60" t="n">
        <v>108</v>
      </c>
      <c r="C227" s="59" t="inlineStr">
        <is>
          <t>365 Bartlett Ave N</t>
        </is>
      </c>
      <c r="D227" s="59" t="inlineStr">
        <is>
          <t>26 211066</t>
        </is>
      </c>
      <c r="E227" s="61" t="inlineStr">
        <is>
          <t>Check permit status</t>
        </is>
      </c>
      <c r="F227" s="59" t="inlineStr">
        <is>
          <t>Addition or alteration</t>
        </is>
      </c>
      <c r="G227" s="59" t="inlineStr">
        <is>
          <t>Small Residential Projects</t>
        </is>
      </c>
      <c r="H227" s="59" t="inlineStr">
        <is>
          <t>SFD - Detached</t>
        </is>
      </c>
      <c r="I227" s="59" t="inlineStr">
        <is>
          <t>issued</t>
        </is>
      </c>
      <c r="J227" s="63" t="n">
        <v>46232</v>
      </c>
      <c r="K227" s="63" t="n">
        <v>46259</v>
      </c>
      <c r="L227" s="63" t="n"/>
      <c r="M227" s="70" t="n">
        <v>40000</v>
      </c>
      <c r="N227" s="59" t="n"/>
      <c r="O227" s="64" t="n"/>
      <c r="P227" s="59" t="n"/>
      <c r="Q227" s="65" t="inlineStr">
        <is>
          <t>Proposal for interior alterations only</t>
        </is>
      </c>
      <c r="R227" s="61" t="inlineStr">
        <is>
          <t>Map</t>
        </is>
      </c>
      <c r="S227" s="61" t="inlineStr">
        <is>
          <t>Raw data</t>
        </is>
      </c>
    </row>
    <row r="228" ht="29" customHeight="1">
      <c r="A228" s="59" t="inlineStr">
        <is>
          <t>65 Bristol Ave</t>
        </is>
      </c>
      <c r="B228" s="60" t="n">
        <v>109</v>
      </c>
      <c r="C228" s="59" t="inlineStr">
        <is>
          <t>357 Bartlett Ave N</t>
        </is>
      </c>
      <c r="D228" s="59" t="inlineStr">
        <is>
          <t>06 132458</t>
        </is>
      </c>
      <c r="E228" s="61" t="inlineStr">
        <is>
          <t>Building records request</t>
        </is>
      </c>
      <c r="F228" s="59" t="inlineStr">
        <is>
          <t>Other</t>
        </is>
      </c>
      <c r="G228" s="59" t="inlineStr">
        <is>
          <t>Plumbing(PS)</t>
        </is>
      </c>
      <c r="H228" s="59" t="inlineStr">
        <is>
          <t>SFD - Detached</t>
        </is>
      </c>
      <c r="I228" s="59" t="inlineStr">
        <is>
          <t>closed</t>
        </is>
      </c>
      <c r="J228" s="63" t="n">
        <v>38845</v>
      </c>
      <c r="K228" s="63" t="n">
        <v>38917</v>
      </c>
      <c r="L228" s="63" t="n">
        <v>46248</v>
      </c>
      <c r="M228" s="70" t="n"/>
      <c r="N228" s="59" t="inlineStr">
        <is>
          <t>Not declared</t>
        </is>
      </c>
      <c r="O228" s="64" t="n"/>
      <c r="P228" s="59" t="n"/>
      <c r="Q228" s="65" t="inlineStr">
        <is>
          <t>Plumbing - Construct a new two storey detached SFD with finished basement and walkout deck to rear - New Building</t>
        </is>
      </c>
      <c r="R228" s="61" t="inlineStr">
        <is>
          <t>Map</t>
        </is>
      </c>
      <c r="S228" s="61" t="inlineStr">
        <is>
          <t>Raw data</t>
        </is>
      </c>
    </row>
    <row r="229" ht="16" customHeight="1">
      <c r="A229" s="59" t="inlineStr">
        <is>
          <t>65 Bristol Ave</t>
        </is>
      </c>
      <c r="B229" s="60" t="n">
        <v>109</v>
      </c>
      <c r="C229" s="59" t="inlineStr">
        <is>
          <t>328 Bartlett Ave N</t>
        </is>
      </c>
      <c r="D229" s="59" t="inlineStr">
        <is>
          <t>23 224359</t>
        </is>
      </c>
      <c r="E229" s="61" t="inlineStr">
        <is>
          <t>Building records request</t>
        </is>
      </c>
      <c r="F229" s="59" t="inlineStr">
        <is>
          <t>Other</t>
        </is>
      </c>
      <c r="G229" s="59" t="inlineStr">
        <is>
          <t>Drain and Site Service</t>
        </is>
      </c>
      <c r="H229" s="59" t="inlineStr">
        <is>
          <t>SFD - Detached</t>
        </is>
      </c>
      <c r="I229" s="59" t="inlineStr">
        <is>
          <t>closed</t>
        </is>
      </c>
      <c r="J229" s="63" t="n">
        <v>45239</v>
      </c>
      <c r="K229" s="63" t="n">
        <v>45240</v>
      </c>
      <c r="L229" s="63" t="n">
        <v>45462</v>
      </c>
      <c r="M229" s="70" t="n"/>
      <c r="N229" s="59" t="inlineStr">
        <is>
          <t>Not declared</t>
        </is>
      </c>
      <c r="O229" s="64" t="n"/>
      <c r="P229" s="59" t="n"/>
      <c r="Q229" s="65" t="inlineStr">
        <is>
          <t>Proposed installation of backwater valve.</t>
        </is>
      </c>
      <c r="R229" s="61" t="inlineStr">
        <is>
          <t>Map</t>
        </is>
      </c>
      <c r="S229" s="61" t="inlineStr">
        <is>
          <t>Raw data</t>
        </is>
      </c>
    </row>
    <row r="230" ht="42" customHeight="1">
      <c r="A230" s="59" t="inlineStr">
        <is>
          <t>65 Bristol Ave</t>
        </is>
      </c>
      <c r="B230" s="60" t="n">
        <v>112</v>
      </c>
      <c r="C230" s="59" t="inlineStr">
        <is>
          <t>353 Bartlett Ave N</t>
        </is>
      </c>
      <c r="D230" s="59" t="inlineStr">
        <is>
          <t>01 159011</t>
        </is>
      </c>
      <c r="E230" s="61" t="inlineStr">
        <is>
          <t>Building records request</t>
        </is>
      </c>
      <c r="F230" s="59" t="inlineStr">
        <is>
          <t>New building</t>
        </is>
      </c>
      <c r="G230" s="59" t="inlineStr">
        <is>
          <t>Residential Building Permit</t>
        </is>
      </c>
      <c r="H230" s="59" t="inlineStr">
        <is>
          <t>SFD - Detached</t>
        </is>
      </c>
      <c r="I230" s="59" t="inlineStr">
        <is>
          <t>closed</t>
        </is>
      </c>
      <c r="J230" s="63" t="n">
        <v>37089</v>
      </c>
      <c r="K230" s="63" t="n">
        <v>37285</v>
      </c>
      <c r="L230" s="63" t="n">
        <v>46140</v>
      </c>
      <c r="M230" s="70" t="n">
        <v>160000</v>
      </c>
      <c r="N230" s="59" t="n"/>
      <c r="O230" s="64" t="n">
        <v>1</v>
      </c>
      <c r="P230" s="59" t="n"/>
      <c r="Q230" s="65" t="inlineStr">
        <is>
          <t>construct 2 storey detached house with below grade integral garage. see C of A Decision dated June 6, 2001. Final and Binding. Hold for ONHWP, survey services.</t>
        </is>
      </c>
      <c r="R230" s="61" t="inlineStr">
        <is>
          <t>Map</t>
        </is>
      </c>
      <c r="S230" s="61" t="inlineStr">
        <is>
          <t>Raw data</t>
        </is>
      </c>
    </row>
    <row r="231" ht="29" customHeight="1">
      <c r="A231" s="59" t="inlineStr">
        <is>
          <t>65 Bristol Ave</t>
        </is>
      </c>
      <c r="B231" s="60" t="n">
        <v>114</v>
      </c>
      <c r="C231" s="59" t="inlineStr">
        <is>
          <t>351 Bartlett Ave N</t>
        </is>
      </c>
      <c r="D231" s="59" t="inlineStr">
        <is>
          <t>09 193433</t>
        </is>
      </c>
      <c r="E231" s="61" t="inlineStr">
        <is>
          <t>Building records request</t>
        </is>
      </c>
      <c r="F231" s="59" t="inlineStr">
        <is>
          <t>Addition or alteration</t>
        </is>
      </c>
      <c r="G231" s="59" t="inlineStr">
        <is>
          <t>Small Residential Projects</t>
        </is>
      </c>
      <c r="H231" s="59" t="inlineStr">
        <is>
          <t>SFD - Detached</t>
        </is>
      </c>
      <c r="I231" s="59" t="inlineStr">
        <is>
          <t>cancelled</t>
        </is>
      </c>
      <c r="J231" s="63" t="n">
        <v>40150</v>
      </c>
      <c r="K231" s="63" t="n">
        <v>40171</v>
      </c>
      <c r="L231" s="63" t="n">
        <v>42837</v>
      </c>
      <c r="M231" s="70" t="n">
        <v>20000</v>
      </c>
      <c r="N231" s="59" t="n"/>
      <c r="O231" s="64" t="n"/>
      <c r="P231" s="59" t="n"/>
      <c r="Q231" s="65" t="inlineStr">
        <is>
          <t>Construct a second storey addition as approved by committee of adjustment.</t>
        </is>
      </c>
      <c r="R231" s="61" t="inlineStr">
        <is>
          <t>Map</t>
        </is>
      </c>
      <c r="S231" s="61" t="inlineStr">
        <is>
          <t>Raw data</t>
        </is>
      </c>
    </row>
    <row r="232" ht="55" customHeight="1">
      <c r="A232" s="59" t="inlineStr">
        <is>
          <t>65 Bristol Ave</t>
        </is>
      </c>
      <c r="B232" s="60" t="n">
        <v>115</v>
      </c>
      <c r="C232" s="59" t="inlineStr">
        <is>
          <t>349 Bartlett Ave N</t>
        </is>
      </c>
      <c r="D232" s="59" t="inlineStr">
        <is>
          <t>13 274601</t>
        </is>
      </c>
      <c r="E232" s="61" t="inlineStr">
        <is>
          <t>Building records request</t>
        </is>
      </c>
      <c r="F232" s="59" t="inlineStr">
        <is>
          <t>Other</t>
        </is>
      </c>
      <c r="G232" s="59" t="inlineStr">
        <is>
          <t>Plumbing(PS)</t>
        </is>
      </c>
      <c r="H232" s="59" t="inlineStr">
        <is>
          <t>SFD - Semi-Detached</t>
        </is>
      </c>
      <c r="I232" s="59" t="inlineStr">
        <is>
          <t>closed</t>
        </is>
      </c>
      <c r="J232" s="63" t="n">
        <v>41613</v>
      </c>
      <c r="K232" s="63" t="n">
        <v>41617</v>
      </c>
      <c r="L232" s="63" t="n">
        <v>46184</v>
      </c>
      <c r="M232" s="70" t="n"/>
      <c r="N232" s="59" t="inlineStr">
        <is>
          <t>Not declared</t>
        </is>
      </c>
      <c r="O232" s="64" t="n"/>
      <c r="P232" s="59" t="n"/>
      <c r="Q232" s="65" t="inlineStr">
        <is>
          <t>Plumbing - Proposal to do new Ground Floor and Second Floor layouts in existing single family semi-detached dwelling without a Basement. No demo required because original house had no interior partitions. All existing openings to remain unchanged. No exterior work proposed.</t>
        </is>
      </c>
      <c r="R232" s="61" t="inlineStr">
        <is>
          <t>Map</t>
        </is>
      </c>
      <c r="S232" s="61" t="inlineStr">
        <is>
          <t>Raw data</t>
        </is>
      </c>
    </row>
    <row r="233" ht="29" customHeight="1">
      <c r="A233" s="59" t="inlineStr">
        <is>
          <t>65 Bristol Ave</t>
        </is>
      </c>
      <c r="B233" s="60" t="n">
        <v>115</v>
      </c>
      <c r="C233" s="59" t="inlineStr">
        <is>
          <t>349 Bartlett Ave N</t>
        </is>
      </c>
      <c r="D233" s="59" t="inlineStr">
        <is>
          <t>26 187553</t>
        </is>
      </c>
      <c r="E233" s="61" t="inlineStr">
        <is>
          <t>Check permit status</t>
        </is>
      </c>
      <c r="F233" s="59" t="inlineStr">
        <is>
          <t>Demolition</t>
        </is>
      </c>
      <c r="G233" s="59" t="inlineStr">
        <is>
          <t>Demolition Folder (DM)</t>
        </is>
      </c>
      <c r="H233" s="59" t="inlineStr">
        <is>
          <t>SFD - Semi-Detached</t>
        </is>
      </c>
      <c r="I233" s="59" t="inlineStr">
        <is>
          <t>refusal notice</t>
        </is>
      </c>
      <c r="J233" s="63" t="n">
        <v>46192</v>
      </c>
      <c r="K233" s="63" t="n"/>
      <c r="L233" s="63" t="n"/>
      <c r="M233" s="70" t="n"/>
      <c r="N233" s="59" t="inlineStr">
        <is>
          <t>Unreliable (zero or out of band)</t>
        </is>
      </c>
      <c r="O233" s="64" t="n"/>
      <c r="P233" s="59" t="n"/>
      <c r="Q233" s="65" t="inlineStr">
        <is>
          <t>Proposal to demolish existing building and construct a new semi-detached three unit dwelling and garden suite.</t>
        </is>
      </c>
      <c r="R233" s="61" t="inlineStr">
        <is>
          <t>Map</t>
        </is>
      </c>
      <c r="S233" s="61" t="inlineStr">
        <is>
          <t>Raw data</t>
        </is>
      </c>
    </row>
    <row r="234" ht="29" customHeight="1">
      <c r="A234" s="59" t="inlineStr">
        <is>
          <t>65 Bristol Ave</t>
        </is>
      </c>
      <c r="B234" s="60" t="n">
        <v>115</v>
      </c>
      <c r="C234" s="59" t="inlineStr">
        <is>
          <t>349 Bartlett Ave N</t>
        </is>
      </c>
      <c r="D234" s="59" t="inlineStr">
        <is>
          <t>26 187765</t>
        </is>
      </c>
      <c r="E234" s="61" t="inlineStr">
        <is>
          <t>Check permit status</t>
        </is>
      </c>
      <c r="F234" s="59" t="inlineStr">
        <is>
          <t>New building</t>
        </is>
      </c>
      <c r="G234" s="59" t="inlineStr">
        <is>
          <t>Drain and Site Service; New Houses; Plumbing(PS); Mechanical(MS)</t>
        </is>
      </c>
      <c r="H234" s="59" t="inlineStr">
        <is>
          <t>3+ Unit - Semi-detached</t>
        </is>
      </c>
      <c r="I234" s="59" t="inlineStr">
        <is>
          <t>issuance pending</t>
        </is>
      </c>
      <c r="J234" s="63" t="n">
        <v>46192</v>
      </c>
      <c r="K234" s="63" t="n"/>
      <c r="L234" s="63" t="n"/>
      <c r="M234" s="70" t="n">
        <v>1250000</v>
      </c>
      <c r="N234" s="59" t="n"/>
      <c r="O234" s="64" t="n">
        <v>3</v>
      </c>
      <c r="P234" s="59" t="n"/>
      <c r="Q234" s="65" t="inlineStr">
        <is>
          <t>Plumbing - PROPOSAL TO CONSTRUCT A SEMI-DETACTHED TRIPLEX AND A GARDEN SUITE.SEE ALSO 24 176723 ZAP</t>
        </is>
      </c>
      <c r="R234" s="61" t="inlineStr">
        <is>
          <t>Map</t>
        </is>
      </c>
      <c r="S234" s="61" t="inlineStr">
        <is>
          <t>Raw data</t>
        </is>
      </c>
    </row>
    <row r="235" ht="29" customHeight="1">
      <c r="A235" s="59" t="inlineStr">
        <is>
          <t>65 Bristol Ave</t>
        </is>
      </c>
      <c r="B235" s="60" t="n">
        <v>115</v>
      </c>
      <c r="C235" s="59" t="inlineStr">
        <is>
          <t>349 Bartlett Ave N</t>
        </is>
      </c>
      <c r="D235" s="59" t="inlineStr">
        <is>
          <t>26 197125</t>
        </is>
      </c>
      <c r="E235" s="61" t="inlineStr">
        <is>
          <t>Check permit status</t>
        </is>
      </c>
      <c r="F235" s="59" t="inlineStr">
        <is>
          <t>Addition or alteration</t>
        </is>
      </c>
      <c r="G235" s="59" t="inlineStr">
        <is>
          <t>Small Residential Projects; Drain and Site Service; Mechanical(MS); Plumbing(PS)</t>
        </is>
      </c>
      <c r="H235" s="59" t="inlineStr">
        <is>
          <t>Laneway / Rear Yard Suite</t>
        </is>
      </c>
      <c r="I235" s="59" t="inlineStr">
        <is>
          <t>refusal notice</t>
        </is>
      </c>
      <c r="J235" s="63" t="n">
        <v>46210</v>
      </c>
      <c r="K235" s="63" t="n"/>
      <c r="L235" s="63" t="n"/>
      <c r="M235" s="70" t="n">
        <v>1250000</v>
      </c>
      <c r="N235" s="59" t="n"/>
      <c r="O235" s="64" t="n">
        <v>1</v>
      </c>
      <c r="P235" s="59" t="n"/>
      <c r="Q235" s="65" t="inlineStr">
        <is>
          <t>Plumbing - TO CONSTRUCT A SEMI-DETACHED GARDEN SUITE BEHIND A SEMI DETACHED TRIPLEX. (Unit # 4)</t>
        </is>
      </c>
      <c r="R235" s="61" t="inlineStr">
        <is>
          <t>Map</t>
        </is>
      </c>
      <c r="S235" s="61" t="inlineStr">
        <is>
          <t>Raw data</t>
        </is>
      </c>
    </row>
    <row r="236" ht="29" customHeight="1">
      <c r="A236" s="59" t="inlineStr">
        <is>
          <t>65 Bristol Ave</t>
        </is>
      </c>
      <c r="B236" s="60" t="n">
        <v>116</v>
      </c>
      <c r="C236" s="59" t="inlineStr">
        <is>
          <t>347 Bartlett Ave N</t>
        </is>
      </c>
      <c r="D236" s="59" t="inlineStr">
        <is>
          <t>15 238645</t>
        </is>
      </c>
      <c r="E236" s="61" t="inlineStr">
        <is>
          <t>Building records request</t>
        </is>
      </c>
      <c r="F236" s="59" t="inlineStr">
        <is>
          <t>Addition or alteration</t>
        </is>
      </c>
      <c r="G236" s="59" t="inlineStr">
        <is>
          <t>Plumbing(PS); Small Residential Projects</t>
        </is>
      </c>
      <c r="H236" s="59" t="inlineStr">
        <is>
          <t>SFD - Semi-Detached</t>
        </is>
      </c>
      <c r="I236" s="59" t="inlineStr">
        <is>
          <t>closed</t>
        </is>
      </c>
      <c r="J236" s="63" t="n">
        <v>42458</v>
      </c>
      <c r="K236" s="63" t="n">
        <v>42459</v>
      </c>
      <c r="L236" s="63" t="n">
        <v>42790</v>
      </c>
      <c r="M236" s="70" t="n">
        <v>40000</v>
      </c>
      <c r="N236" s="59" t="n"/>
      <c r="O236" s="64" t="n"/>
      <c r="P236" s="59" t="n"/>
      <c r="Q236" s="65" t="inlineStr">
        <is>
          <t>Revision to ground floor bathroom/laundry layout and additional interior alterations to 2nd floor bathroom and bedroom layout.</t>
        </is>
      </c>
      <c r="R236" s="61" t="inlineStr">
        <is>
          <t>Map</t>
        </is>
      </c>
      <c r="S236" s="61" t="inlineStr">
        <is>
          <t>Raw data</t>
        </is>
      </c>
    </row>
    <row r="237" ht="16" customHeight="1">
      <c r="A237" s="59" t="inlineStr">
        <is>
          <t>65 Bristol Ave</t>
        </is>
      </c>
      <c r="B237" s="60" t="n">
        <v>116</v>
      </c>
      <c r="C237" s="59" t="inlineStr">
        <is>
          <t>347 Bartlett Ave N</t>
        </is>
      </c>
      <c r="D237" s="59" t="inlineStr">
        <is>
          <t>26 187723</t>
        </is>
      </c>
      <c r="E237" s="61" t="inlineStr">
        <is>
          <t>Check permit status</t>
        </is>
      </c>
      <c r="F237" s="59" t="inlineStr">
        <is>
          <t>New building</t>
        </is>
      </c>
      <c r="G237" s="59" t="inlineStr">
        <is>
          <t>Plumbing(PS); Drain and Site Service; Mechanical(MS); New Houses</t>
        </is>
      </c>
      <c r="H237" s="59" t="inlineStr">
        <is>
          <t>3+ Unit - Semi-detached</t>
        </is>
      </c>
      <c r="I237" s="59" t="inlineStr">
        <is>
          <t>issuance pending</t>
        </is>
      </c>
      <c r="J237" s="63" t="n">
        <v>46192</v>
      </c>
      <c r="K237" s="63" t="n"/>
      <c r="L237" s="63" t="n"/>
      <c r="M237" s="70" t="n">
        <v>1250000</v>
      </c>
      <c r="N237" s="59" t="n"/>
      <c r="O237" s="64" t="n">
        <v>3</v>
      </c>
      <c r="P237" s="59" t="n"/>
      <c r="Q237" s="65" t="inlineStr">
        <is>
          <t>PROPOSAL TO CONSTRUCT A SEMI-DETACHED TRIPLEX SEE ALSO 24 176712 ZAP</t>
        </is>
      </c>
      <c r="R237" s="61" t="inlineStr">
        <is>
          <t>Map</t>
        </is>
      </c>
      <c r="S237" s="61" t="inlineStr">
        <is>
          <t>Raw data</t>
        </is>
      </c>
    </row>
    <row r="238" ht="16" customHeight="1">
      <c r="A238" s="59" t="inlineStr">
        <is>
          <t>65 Bristol Ave</t>
        </is>
      </c>
      <c r="B238" s="60" t="n">
        <v>116</v>
      </c>
      <c r="C238" s="59" t="inlineStr">
        <is>
          <t>347 Bartlett Ave N</t>
        </is>
      </c>
      <c r="D238" s="59" t="inlineStr">
        <is>
          <t>26 193343</t>
        </is>
      </c>
      <c r="E238" s="61" t="inlineStr">
        <is>
          <t>Check permit status</t>
        </is>
      </c>
      <c r="F238" s="59" t="inlineStr">
        <is>
          <t>Demolition</t>
        </is>
      </c>
      <c r="G238" s="59" t="inlineStr">
        <is>
          <t>Demolition Folder (DM)</t>
        </is>
      </c>
      <c r="H238" s="59" t="inlineStr">
        <is>
          <t>SFD - Detached</t>
        </is>
      </c>
      <c r="I238" s="59" t="inlineStr">
        <is>
          <t>under review</t>
        </is>
      </c>
      <c r="J238" s="63" t="n">
        <v>46202</v>
      </c>
      <c r="K238" s="63" t="n"/>
      <c r="L238" s="63" t="n"/>
      <c r="M238" s="70" t="n"/>
      <c r="N238" s="59" t="inlineStr">
        <is>
          <t>Unreliable (zero or out of band)</t>
        </is>
      </c>
      <c r="O238" s="64" t="n"/>
      <c r="P238" s="59" t="n"/>
      <c r="Q238" s="65" t="inlineStr">
        <is>
          <t>demo of existing 2 storey building</t>
        </is>
      </c>
      <c r="R238" s="61" t="inlineStr">
        <is>
          <t>Map</t>
        </is>
      </c>
      <c r="S238" s="61" t="inlineStr">
        <is>
          <t>Raw data</t>
        </is>
      </c>
    </row>
    <row r="239" ht="29" customHeight="1">
      <c r="A239" s="59" t="inlineStr">
        <is>
          <t>65 Bristol Ave</t>
        </is>
      </c>
      <c r="B239" s="60" t="n">
        <v>116</v>
      </c>
      <c r="C239" s="59" t="inlineStr">
        <is>
          <t>347 Bartlett Ave N</t>
        </is>
      </c>
      <c r="D239" s="59" t="inlineStr">
        <is>
          <t>26 197091</t>
        </is>
      </c>
      <c r="E239" s="61" t="inlineStr">
        <is>
          <t>Check permit status</t>
        </is>
      </c>
      <c r="F239" s="59" t="inlineStr">
        <is>
          <t>Addition or alteration</t>
        </is>
      </c>
      <c r="G239" s="59" t="inlineStr">
        <is>
          <t>Plumbing(PS); Mechanical(MS); Small Residential Projects; Drain and Site Service</t>
        </is>
      </c>
      <c r="H239" s="59" t="inlineStr">
        <is>
          <t>Laneway / Rear Yard Suite</t>
        </is>
      </c>
      <c r="I239" s="59" t="inlineStr">
        <is>
          <t>issuance pending</t>
        </is>
      </c>
      <c r="J239" s="63" t="n">
        <v>46210</v>
      </c>
      <c r="K239" s="63" t="n"/>
      <c r="L239" s="63" t="n"/>
      <c r="M239" s="70" t="n">
        <v>1250000</v>
      </c>
      <c r="N239" s="59" t="n"/>
      <c r="O239" s="64" t="n">
        <v>1</v>
      </c>
      <c r="P239" s="59" t="n"/>
      <c r="Q239" s="65" t="inlineStr">
        <is>
          <t>Plumbing - Proposal to construct a semi-detached garden suite behind the main house triplex (Unit #4)</t>
        </is>
      </c>
      <c r="R239" s="61" t="inlineStr">
        <is>
          <t>Map</t>
        </is>
      </c>
      <c r="S239" s="61" t="inlineStr">
        <is>
          <t>Raw data</t>
        </is>
      </c>
    </row>
    <row r="240" ht="29" customHeight="1">
      <c r="A240" s="59" t="inlineStr">
        <is>
          <t>65 Bristol Ave</t>
        </is>
      </c>
      <c r="B240" s="60" t="n">
        <v>119</v>
      </c>
      <c r="C240" s="59" t="inlineStr">
        <is>
          <t>392 Bartlett Ave N</t>
        </is>
      </c>
      <c r="D240" s="59" t="inlineStr">
        <is>
          <t>17 130973</t>
        </is>
      </c>
      <c r="E240" s="61" t="inlineStr">
        <is>
          <t>Building records request</t>
        </is>
      </c>
      <c r="F240" s="59" t="inlineStr">
        <is>
          <t>Addition or alteration</t>
        </is>
      </c>
      <c r="G240" s="59" t="inlineStr">
        <is>
          <t>Small Residential Projects</t>
        </is>
      </c>
      <c r="H240" s="59" t="inlineStr">
        <is>
          <t>SFD - Detached</t>
        </is>
      </c>
      <c r="I240" s="59" t="inlineStr">
        <is>
          <t>closed</t>
        </is>
      </c>
      <c r="J240" s="63" t="n">
        <v>42814</v>
      </c>
      <c r="K240" s="63" t="n">
        <v>42822</v>
      </c>
      <c r="L240" s="63" t="n">
        <v>42964</v>
      </c>
      <c r="M240" s="70" t="n">
        <v>15000</v>
      </c>
      <c r="N240" s="59" t="n"/>
      <c r="O240" s="64" t="n"/>
      <c r="P240" s="59" t="n"/>
      <c r="Q240" s="65" t="inlineStr">
        <is>
          <t>Proposal to install solar panels on the rooftop of an existing SFD-detached dwelling.</t>
        </is>
      </c>
      <c r="R240" s="61" t="inlineStr">
        <is>
          <t>Map</t>
        </is>
      </c>
      <c r="S240" s="61" t="inlineStr">
        <is>
          <t>Raw data</t>
        </is>
      </c>
    </row>
    <row r="241" ht="68" customHeight="1">
      <c r="A241" s="59" t="inlineStr">
        <is>
          <t>65 Bristol Ave</t>
        </is>
      </c>
      <c r="B241" s="60" t="n">
        <v>119</v>
      </c>
      <c r="C241" s="59" t="inlineStr">
        <is>
          <t>1423 Dufferin St</t>
        </is>
      </c>
      <c r="D241" s="59" t="inlineStr">
        <is>
          <t>19 142465</t>
        </is>
      </c>
      <c r="E241" s="61" t="inlineStr">
        <is>
          <t>Building records request</t>
        </is>
      </c>
      <c r="F241" s="59" t="inlineStr">
        <is>
          <t>Addition or alteration</t>
        </is>
      </c>
      <c r="G241" s="59" t="inlineStr">
        <is>
          <t>Building Additions/Alterations; Mechanical(MS); Plumbing(PS)</t>
        </is>
      </c>
      <c r="H241" s="59" t="inlineStr">
        <is>
          <t>Apartment Building</t>
        </is>
      </c>
      <c r="I241" s="59" t="inlineStr">
        <is>
          <t>cancelled</t>
        </is>
      </c>
      <c r="J241" s="63" t="n">
        <v>43573</v>
      </c>
      <c r="K241" s="63" t="n">
        <v>44435</v>
      </c>
      <c r="L241" s="63" t="n">
        <v>45082</v>
      </c>
      <c r="M241" s="70" t="n">
        <v>2000000</v>
      </c>
      <c r="N241" s="59" t="n"/>
      <c r="O241" s="64" t="n"/>
      <c r="P241" s="59" t="n"/>
      <c r="Q241" s="65" t="inlineStr">
        <is>
          <t>Plumbing - Proposal to convert the existing dwelling into an apartment building which will contain a total of ten dwelling units. To construct a three-storey infill addition along the rear wall of the existing dwelling and a two-storey addition above the existing garage. The existing garage will contain a 8 car stacking unit.</t>
        </is>
      </c>
      <c r="R241" s="61" t="inlineStr">
        <is>
          <t>Map</t>
        </is>
      </c>
      <c r="S241" s="61" t="inlineStr">
        <is>
          <t>Raw data</t>
        </is>
      </c>
    </row>
    <row r="242" ht="29" customHeight="1">
      <c r="A242" s="59" t="inlineStr">
        <is>
          <t>65 Bristol Ave</t>
        </is>
      </c>
      <c r="B242" s="60" t="n">
        <v>119</v>
      </c>
      <c r="C242" s="59" t="inlineStr">
        <is>
          <t>1423 Dufferin St</t>
        </is>
      </c>
      <c r="D242" s="59" t="inlineStr">
        <is>
          <t>25 221950</t>
        </is>
      </c>
      <c r="E242" s="61" t="inlineStr">
        <is>
          <t>Check permit status</t>
        </is>
      </c>
      <c r="F242" s="59" t="inlineStr">
        <is>
          <t>Demolition</t>
        </is>
      </c>
      <c r="G242" s="59" t="inlineStr">
        <is>
          <t>Demolition Folder (DM)</t>
        </is>
      </c>
      <c r="H242" s="59" t="inlineStr">
        <is>
          <t>Apartment Building</t>
        </is>
      </c>
      <c r="I242" s="59" t="inlineStr">
        <is>
          <t>issued</t>
        </is>
      </c>
      <c r="J242" s="63" t="n">
        <v>45908</v>
      </c>
      <c r="K242" s="63" t="n">
        <v>46056</v>
      </c>
      <c r="L242" s="63" t="n"/>
      <c r="M242" s="70" t="n"/>
      <c r="N242" s="59" t="inlineStr">
        <is>
          <t>Unreliable (zero or out of band)</t>
        </is>
      </c>
      <c r="O242" s="64" t="n"/>
      <c r="P242" s="59" t="n"/>
      <c r="Q242" s="65" t="inlineStr">
        <is>
          <t>Proposal for demolition and removal of existing two (2) vacant structures.</t>
        </is>
      </c>
      <c r="R242" s="61" t="inlineStr">
        <is>
          <t>Map</t>
        </is>
      </c>
      <c r="S242" s="61" t="inlineStr">
        <is>
          <t>Raw data</t>
        </is>
      </c>
    </row>
    <row r="243" ht="29" customHeight="1">
      <c r="A243" s="59" t="inlineStr">
        <is>
          <t>65 Bristol Ave</t>
        </is>
      </c>
      <c r="B243" s="60" t="n">
        <v>121</v>
      </c>
      <c r="C243" s="59" t="inlineStr">
        <is>
          <t>109 Bristol Ave</t>
        </is>
      </c>
      <c r="D243" s="59" t="inlineStr">
        <is>
          <t>18 215034</t>
        </is>
      </c>
      <c r="E243" s="61" t="inlineStr">
        <is>
          <t>Building records request</t>
        </is>
      </c>
      <c r="F243" s="59" t="inlineStr">
        <is>
          <t>Addition or alteration</t>
        </is>
      </c>
      <c r="G243" s="59" t="inlineStr">
        <is>
          <t>Small Residential Projects</t>
        </is>
      </c>
      <c r="H243" s="59" t="inlineStr">
        <is>
          <t>SFD - Semi-Detached</t>
        </is>
      </c>
      <c r="I243" s="59" t="inlineStr">
        <is>
          <t>closed</t>
        </is>
      </c>
      <c r="J243" s="63" t="n">
        <v>43336</v>
      </c>
      <c r="K243" s="63" t="n">
        <v>43355</v>
      </c>
      <c r="L243" s="63" t="n">
        <v>44263</v>
      </c>
      <c r="M243" s="70" t="n"/>
      <c r="N243" s="59" t="inlineStr">
        <is>
          <t>Unreliable (zero or out of band)</t>
        </is>
      </c>
      <c r="O243" s="64" t="n"/>
      <c r="P243" s="59" t="n"/>
      <c r="Q243" s="65" t="inlineStr">
        <is>
          <t>Admin party wall permit for work being done at 111 Bristol Ave (18 210992).</t>
        </is>
      </c>
      <c r="R243" s="61" t="inlineStr">
        <is>
          <t>Map</t>
        </is>
      </c>
      <c r="S243" s="61" t="inlineStr">
        <is>
          <t>Raw data</t>
        </is>
      </c>
    </row>
    <row r="244" ht="16" customHeight="1">
      <c r="A244" s="59" t="inlineStr">
        <is>
          <t>65 Bristol Ave</t>
        </is>
      </c>
      <c r="B244" s="60" t="n">
        <v>122</v>
      </c>
      <c r="C244" s="59" t="inlineStr">
        <is>
          <t>1435 Dufferin St</t>
        </is>
      </c>
      <c r="D244" s="59" t="inlineStr">
        <is>
          <t>18 208334</t>
        </is>
      </c>
      <c r="E244" s="61" t="inlineStr">
        <is>
          <t>Building records request</t>
        </is>
      </c>
      <c r="F244" s="59" t="inlineStr">
        <is>
          <t>Other</t>
        </is>
      </c>
      <c r="G244" s="59" t="inlineStr">
        <is>
          <t>Drain and Site Service</t>
        </is>
      </c>
      <c r="H244" s="59" t="inlineStr">
        <is>
          <t>SFD - Detached</t>
        </is>
      </c>
      <c r="I244" s="59" t="inlineStr">
        <is>
          <t>closed</t>
        </is>
      </c>
      <c r="J244" s="63" t="n">
        <v>43325</v>
      </c>
      <c r="K244" s="63" t="n">
        <v>43325</v>
      </c>
      <c r="L244" s="63" t="n">
        <v>43326</v>
      </c>
      <c r="M244" s="70" t="n"/>
      <c r="N244" s="59" t="inlineStr">
        <is>
          <t>Not declared</t>
        </is>
      </c>
      <c r="O244" s="64" t="n"/>
      <c r="P244" s="59" t="n"/>
      <c r="Q244" s="65" t="inlineStr">
        <is>
          <t>Proposal to install a new back water valve</t>
        </is>
      </c>
      <c r="R244" s="61" t="inlineStr">
        <is>
          <t>Map</t>
        </is>
      </c>
      <c r="S244" s="61" t="inlineStr">
        <is>
          <t>Raw data</t>
        </is>
      </c>
    </row>
    <row r="245" ht="16" customHeight="1">
      <c r="A245" s="59" t="inlineStr">
        <is>
          <t>65 Bristol Ave</t>
        </is>
      </c>
      <c r="B245" s="60" t="n">
        <v>122</v>
      </c>
      <c r="C245" s="59" t="inlineStr">
        <is>
          <t>1431 Dufferin St</t>
        </is>
      </c>
      <c r="D245" s="59" t="inlineStr">
        <is>
          <t>96 021127</t>
        </is>
      </c>
      <c r="E245" s="61" t="inlineStr">
        <is>
          <t>Building records request</t>
        </is>
      </c>
      <c r="F245" s="59" t="inlineStr">
        <is>
          <t>Addition or alteration</t>
        </is>
      </c>
      <c r="G245" s="59" t="inlineStr">
        <is>
          <t>Small Residential Projects</t>
        </is>
      </c>
      <c r="H245" s="59" t="inlineStr">
        <is>
          <t>Unknown</t>
        </is>
      </c>
      <c r="I245" s="59" t="inlineStr">
        <is>
          <t>closed</t>
        </is>
      </c>
      <c r="J245" s="63" t="n">
        <v>35334</v>
      </c>
      <c r="K245" s="63" t="n">
        <v>35347</v>
      </c>
      <c r="L245" s="63" t="n">
        <v>42895</v>
      </c>
      <c r="M245" s="70" t="n">
        <v>3000</v>
      </c>
      <c r="N245" s="59" t="n"/>
      <c r="O245" s="64" t="n">
        <v>1</v>
      </c>
      <c r="P245" s="59" t="n"/>
      <c r="Q245" s="65" t="inlineStr">
        <is>
          <t>MAKE INTERIOR ALTERATIONS TO ADD ADDITIONAL UNIT IN BASEMENT. EDC</t>
        </is>
      </c>
      <c r="R245" s="61" t="inlineStr">
        <is>
          <t>Map</t>
        </is>
      </c>
      <c r="S245" s="61" t="inlineStr">
        <is>
          <t>Raw data</t>
        </is>
      </c>
    </row>
    <row r="246" ht="68" customHeight="1">
      <c r="A246" s="59" t="inlineStr">
        <is>
          <t>65 Bristol Ave</t>
        </is>
      </c>
      <c r="B246" s="60" t="n">
        <v>123</v>
      </c>
      <c r="C246" s="59" t="inlineStr">
        <is>
          <t>1411 Dufferin St</t>
        </is>
      </c>
      <c r="D246" s="59" t="inlineStr">
        <is>
          <t>12 296211</t>
        </is>
      </c>
      <c r="E246" s="61" t="inlineStr">
        <is>
          <t>Building records request</t>
        </is>
      </c>
      <c r="F246" s="59" t="inlineStr">
        <is>
          <t>Addition or alteration</t>
        </is>
      </c>
      <c r="G246" s="59" t="inlineStr">
        <is>
          <t>Mechanical(MS); Building Additions/Alterations; Plumbing(PS)</t>
        </is>
      </c>
      <c r="H246" s="59" t="inlineStr">
        <is>
          <t>Office</t>
        </is>
      </c>
      <c r="I246" s="59" t="inlineStr">
        <is>
          <t>under inspection</t>
        </is>
      </c>
      <c r="J246" s="63" t="n">
        <v>41262</v>
      </c>
      <c r="K246" s="63" t="n">
        <v>41359</v>
      </c>
      <c r="L246" s="63" t="n">
        <v>46210</v>
      </c>
      <c r="M246" s="70" t="n">
        <v>85000</v>
      </c>
      <c r="N246" s="59" t="n"/>
      <c r="O246" s="64" t="n"/>
      <c r="P246" s="59" t="n"/>
      <c r="Q246" s="65" t="inlineStr">
        <is>
          <t>Interior alterations to a portion of the building to create 3 separate tenancies, as follows:Tenant #1 - A "publisher" and "communications and broadcasting establishment" Tenant #2 - A "communications and broadcasting establishment" Tenant #3 - A "communications and broadcasting establishment"</t>
        </is>
      </c>
      <c r="R246" s="61" t="inlineStr">
        <is>
          <t>Map</t>
        </is>
      </c>
      <c r="S246" s="61" t="inlineStr">
        <is>
          <t>Raw data</t>
        </is>
      </c>
    </row>
    <row r="247" ht="29" customHeight="1">
      <c r="A247" s="59" t="inlineStr">
        <is>
          <t>65 Bristol Ave</t>
        </is>
      </c>
      <c r="B247" s="60" t="n">
        <v>126</v>
      </c>
      <c r="C247" s="59" t="inlineStr">
        <is>
          <t>111 Bristol Ave</t>
        </is>
      </c>
      <c r="D247" s="59" t="inlineStr">
        <is>
          <t>18 210992</t>
        </is>
      </c>
      <c r="E247" s="61" t="inlineStr">
        <is>
          <t>Building records request</t>
        </is>
      </c>
      <c r="F247" s="59" t="inlineStr">
        <is>
          <t>Addition or alteration</t>
        </is>
      </c>
      <c r="G247" s="59" t="inlineStr">
        <is>
          <t>Plumbing(PS); Small Residential Projects</t>
        </is>
      </c>
      <c r="H247" s="59" t="inlineStr">
        <is>
          <t>SFD - Semi-Detached</t>
        </is>
      </c>
      <c r="I247" s="59" t="inlineStr">
        <is>
          <t>closed</t>
        </is>
      </c>
      <c r="J247" s="63" t="n">
        <v>43329</v>
      </c>
      <c r="K247" s="63" t="n">
        <v>43355</v>
      </c>
      <c r="L247" s="63" t="n">
        <v>46143</v>
      </c>
      <c r="M247" s="70" t="n">
        <v>100000</v>
      </c>
      <c r="N247" s="59" t="n"/>
      <c r="O247" s="64" t="n"/>
      <c r="P247" s="59" t="n"/>
      <c r="Q247" s="65" t="inlineStr">
        <is>
          <t>Plumbing - New basement rear addition, new basement walkout, new rear deck, interior alterations and basement underpinning.</t>
        </is>
      </c>
      <c r="R247" s="61" t="inlineStr">
        <is>
          <t>Map</t>
        </is>
      </c>
      <c r="S247" s="61" t="inlineStr">
        <is>
          <t>Raw data</t>
        </is>
      </c>
    </row>
    <row r="248" ht="16" customHeight="1">
      <c r="A248" s="59" t="inlineStr">
        <is>
          <t>65 Bristol Ave</t>
        </is>
      </c>
      <c r="B248" s="60" t="n">
        <v>127</v>
      </c>
      <c r="C248" s="59" t="inlineStr">
        <is>
          <t>389 Bartlett Ave N</t>
        </is>
      </c>
      <c r="D248" s="59" t="inlineStr">
        <is>
          <t>21 146925</t>
        </is>
      </c>
      <c r="E248" s="61" t="inlineStr">
        <is>
          <t>Building records request</t>
        </is>
      </c>
      <c r="F248" s="59" t="inlineStr">
        <is>
          <t>Addition or alteration</t>
        </is>
      </c>
      <c r="G248" s="59" t="inlineStr">
        <is>
          <t>Small Residential Projects</t>
        </is>
      </c>
      <c r="H248" s="59" t="inlineStr">
        <is>
          <t>SFD - Townhouse</t>
        </is>
      </c>
      <c r="I248" s="59" t="inlineStr">
        <is>
          <t>closed</t>
        </is>
      </c>
      <c r="J248" s="63" t="n">
        <v>44314</v>
      </c>
      <c r="K248" s="63" t="n">
        <v>44334</v>
      </c>
      <c r="L248" s="63" t="n">
        <v>44544</v>
      </c>
      <c r="M248" s="70" t="n"/>
      <c r="N248" s="59" t="inlineStr">
        <is>
          <t>Unreliable (zero or out of band)</t>
        </is>
      </c>
      <c r="O248" s="64" t="n"/>
      <c r="P248" s="59" t="n"/>
      <c r="Q248" s="65" t="inlineStr">
        <is>
          <t>Party Wall Admin permit regarding 391 Bartlett Ave N</t>
        </is>
      </c>
      <c r="R248" s="61" t="inlineStr">
        <is>
          <t>Map</t>
        </is>
      </c>
      <c r="S248" s="61" t="inlineStr">
        <is>
          <t>Raw data</t>
        </is>
      </c>
    </row>
    <row r="249" ht="16" customHeight="1">
      <c r="A249" s="59" t="inlineStr">
        <is>
          <t>65 Bristol Ave</t>
        </is>
      </c>
      <c r="B249" s="60" t="n">
        <v>129</v>
      </c>
      <c r="C249" s="59" t="inlineStr">
        <is>
          <t>391 Bartlett Ave N</t>
        </is>
      </c>
      <c r="D249" s="59" t="inlineStr">
        <is>
          <t>21 140865</t>
        </is>
      </c>
      <c r="E249" s="61" t="inlineStr">
        <is>
          <t>Building records request</t>
        </is>
      </c>
      <c r="F249" s="59" t="inlineStr">
        <is>
          <t>Addition or alteration</t>
        </is>
      </c>
      <c r="G249" s="59" t="inlineStr">
        <is>
          <t>Plumbing(PS); Small Residential Projects; Drain and Site Service</t>
        </is>
      </c>
      <c r="H249" s="59" t="inlineStr">
        <is>
          <t>SFD - Townhouse</t>
        </is>
      </c>
      <c r="I249" s="59" t="inlineStr">
        <is>
          <t>closed</t>
        </is>
      </c>
      <c r="J249" s="63" t="n">
        <v>44300</v>
      </c>
      <c r="K249" s="63" t="n">
        <v>44334</v>
      </c>
      <c r="L249" s="63" t="n">
        <v>44764</v>
      </c>
      <c r="M249" s="70" t="n">
        <v>50000</v>
      </c>
      <c r="N249" s="59" t="n"/>
      <c r="O249" s="64" t="n"/>
      <c r="P249" s="59" t="n"/>
      <c r="Q249" s="65" t="inlineStr">
        <is>
          <t>Plumbing - Construct underpinning to townhouse</t>
        </is>
      </c>
      <c r="R249" s="61" t="inlineStr">
        <is>
          <t>Map</t>
        </is>
      </c>
      <c r="S249" s="61" t="inlineStr">
        <is>
          <t>Raw data</t>
        </is>
      </c>
    </row>
    <row r="250" ht="16" customHeight="1">
      <c r="A250" s="59" t="inlineStr">
        <is>
          <t>65 Bristol Ave</t>
        </is>
      </c>
      <c r="B250" s="60" t="n">
        <v>130</v>
      </c>
      <c r="C250" s="59" t="inlineStr">
        <is>
          <t>16 Bristol Ave</t>
        </is>
      </c>
      <c r="D250" s="59" t="inlineStr">
        <is>
          <t>10 168585</t>
        </is>
      </c>
      <c r="E250" s="61" t="inlineStr">
        <is>
          <t>Check permit status</t>
        </is>
      </c>
      <c r="F250" s="59" t="inlineStr">
        <is>
          <t>Other</t>
        </is>
      </c>
      <c r="G250" s="59" t="inlineStr">
        <is>
          <t>Plumbing(PS)</t>
        </is>
      </c>
      <c r="H250" s="59" t="inlineStr">
        <is>
          <t>SFD - Detached</t>
        </is>
      </c>
      <c r="I250" s="59" t="inlineStr">
        <is>
          <t>closed</t>
        </is>
      </c>
      <c r="J250" s="63" t="n">
        <v>40302</v>
      </c>
      <c r="K250" s="63" t="n">
        <v>40319</v>
      </c>
      <c r="L250" s="63" t="n">
        <v>46281</v>
      </c>
      <c r="M250" s="70" t="n"/>
      <c r="N250" s="59" t="inlineStr">
        <is>
          <t>Not declared</t>
        </is>
      </c>
      <c r="O250" s="64" t="n"/>
      <c r="P250" s="59" t="n"/>
      <c r="Q250" s="65" t="inlineStr">
        <is>
          <t>Plumbing - two storey rear addition and interior alterations</t>
        </is>
      </c>
      <c r="R250" s="61" t="inlineStr">
        <is>
          <t>Map</t>
        </is>
      </c>
      <c r="S250" s="61" t="inlineStr">
        <is>
          <t>Raw data</t>
        </is>
      </c>
    </row>
    <row r="251" ht="55" customHeight="1">
      <c r="A251" s="59" t="inlineStr">
        <is>
          <t>65 Bristol Ave</t>
        </is>
      </c>
      <c r="B251" s="60" t="n">
        <v>130</v>
      </c>
      <c r="C251" s="59" t="inlineStr">
        <is>
          <t>113 Bristol Ave</t>
        </is>
      </c>
      <c r="D251" s="59" t="inlineStr">
        <is>
          <t>16 108879</t>
        </is>
      </c>
      <c r="E251" s="61" t="inlineStr">
        <is>
          <t>Check permit status</t>
        </is>
      </c>
      <c r="F251" s="59" t="inlineStr">
        <is>
          <t>Addition or alteration</t>
        </is>
      </c>
      <c r="G251" s="59" t="inlineStr">
        <is>
          <t>Small Residential Projects; Mechanical(MS)</t>
        </is>
      </c>
      <c r="H251" s="59" t="inlineStr">
        <is>
          <t>2 Unit - Semi-detached; SFD - Detached</t>
        </is>
      </c>
      <c r="I251" s="59" t="inlineStr">
        <is>
          <t>with a revision issued</t>
        </is>
      </c>
      <c r="J251" s="63" t="n">
        <v>44026</v>
      </c>
      <c r="K251" s="63" t="n">
        <v>45022</v>
      </c>
      <c r="L251" s="63" t="n"/>
      <c r="M251" s="70" t="n">
        <v>2700</v>
      </c>
      <c r="N251" s="59" t="n"/>
      <c r="O251" s="64" t="n"/>
      <c r="P251" s="59" t="n"/>
      <c r="Q251" s="65" t="inlineStr">
        <is>
          <t>REV#03: Proposed revision for extension at rear Revision #02 - Proposed renovation of ecisting one storey Rec room with basement work area and below garde entrance stair at rear yard of a two storey semi and 2ND DWELLING on 2nd floor - detached brick dwelling.</t>
        </is>
      </c>
      <c r="R251" s="61" t="inlineStr">
        <is>
          <t>Map</t>
        </is>
      </c>
      <c r="S251" s="61" t="inlineStr">
        <is>
          <t>Raw data</t>
        </is>
      </c>
    </row>
    <row r="252" ht="29" customHeight="1">
      <c r="A252" s="59" t="inlineStr">
        <is>
          <t>65 Bristol Ave</t>
        </is>
      </c>
      <c r="B252" s="60" t="n">
        <v>130</v>
      </c>
      <c r="C252" s="59" t="inlineStr">
        <is>
          <t>113 Bristol Ave</t>
        </is>
      </c>
      <c r="D252" s="59" t="inlineStr">
        <is>
          <t>25 115100</t>
        </is>
      </c>
      <c r="E252" s="61" t="inlineStr">
        <is>
          <t>Check permit status</t>
        </is>
      </c>
      <c r="F252" s="59" t="inlineStr">
        <is>
          <t>Addition or alteration</t>
        </is>
      </c>
      <c r="G252" s="59" t="inlineStr">
        <is>
          <t>Small Residential Projects</t>
        </is>
      </c>
      <c r="H252" s="59" t="inlineStr">
        <is>
          <t>3+ Unit - Semi-detached</t>
        </is>
      </c>
      <c r="I252" s="59" t="inlineStr">
        <is>
          <t>under inspection</t>
        </is>
      </c>
      <c r="J252" s="63" t="n">
        <v>45698</v>
      </c>
      <c r="K252" s="63" t="n">
        <v>46195</v>
      </c>
      <c r="L252" s="63" t="n"/>
      <c r="M252" s="70" t="n">
        <v>50000</v>
      </c>
      <c r="N252" s="59" t="n"/>
      <c r="O252" s="64" t="n">
        <v>1</v>
      </c>
      <c r="P252" s="59" t="n"/>
      <c r="Q252" s="65" t="inlineStr">
        <is>
          <t>Proposal for interior alterations -3 units. convert basement to third unit.</t>
        </is>
      </c>
      <c r="R252" s="61" t="inlineStr">
        <is>
          <t>Map</t>
        </is>
      </c>
      <c r="S252" s="61" t="inlineStr">
        <is>
          <t>Raw data</t>
        </is>
      </c>
    </row>
    <row r="253" ht="55" customHeight="1">
      <c r="A253" s="59" t="inlineStr">
        <is>
          <t>65 Bristol Ave</t>
        </is>
      </c>
      <c r="B253" s="60" t="n">
        <v>131</v>
      </c>
      <c r="C253" s="59" t="inlineStr">
        <is>
          <t>331 Bartlett Ave N</t>
        </is>
      </c>
      <c r="D253" s="59" t="inlineStr">
        <is>
          <t>20 113207</t>
        </is>
      </c>
      <c r="E253" s="61" t="inlineStr">
        <is>
          <t>Building records request</t>
        </is>
      </c>
      <c r="F253" s="59" t="inlineStr">
        <is>
          <t>Addition or alteration</t>
        </is>
      </c>
      <c r="G253" s="59" t="inlineStr">
        <is>
          <t>Building Additions/Alterations</t>
        </is>
      </c>
      <c r="H253" s="59" t="inlineStr">
        <is>
          <t>Apartment Hotel</t>
        </is>
      </c>
      <c r="I253" s="59" t="inlineStr">
        <is>
          <t>closed</t>
        </is>
      </c>
      <c r="J253" s="63" t="n">
        <v>44012</v>
      </c>
      <c r="K253" s="63" t="n">
        <v>44042</v>
      </c>
      <c r="L253" s="63" t="n">
        <v>44194</v>
      </c>
      <c r="M253" s="70" t="n">
        <v>190000</v>
      </c>
      <c r="N253" s="59" t="n"/>
      <c r="O253" s="64" t="n"/>
      <c r="P253" s="59" t="n"/>
      <c r="Q253" s="65" t="inlineStr">
        <is>
          <t>REVISION - additional structural support for storage loft in Unit 103Proposal for interior renovations to meet requirements of City of Toronto Fire Services Notice of Violation - upgrade existing fire separations, doors, closers.</t>
        </is>
      </c>
      <c r="R253" s="61" t="inlineStr">
        <is>
          <t>Map</t>
        </is>
      </c>
      <c r="S253" s="61" t="inlineStr">
        <is>
          <t>Raw data</t>
        </is>
      </c>
    </row>
    <row r="254" ht="55" customHeight="1">
      <c r="A254" s="59" t="inlineStr">
        <is>
          <t>65 Bristol Ave</t>
        </is>
      </c>
      <c r="B254" s="60" t="n">
        <v>131</v>
      </c>
      <c r="C254" s="59" t="inlineStr">
        <is>
          <t>331 Bartlett Ave N</t>
        </is>
      </c>
      <c r="D254" s="59" t="inlineStr">
        <is>
          <t>97 025419</t>
        </is>
      </c>
      <c r="E254" s="61" t="inlineStr">
        <is>
          <t>Building records request</t>
        </is>
      </c>
      <c r="F254" s="59" t="inlineStr">
        <is>
          <t>Addition or alteration</t>
        </is>
      </c>
      <c r="G254" s="59" t="inlineStr">
        <is>
          <t>Building Additions/Alterations</t>
        </is>
      </c>
      <c r="H254" s="59" t="inlineStr">
        <is>
          <t>Unknown</t>
        </is>
      </c>
      <c r="I254" s="59" t="inlineStr">
        <is>
          <t>closed - dormant</t>
        </is>
      </c>
      <c r="J254" s="63" t="n">
        <v>35780</v>
      </c>
      <c r="K254" s="63" t="n">
        <v>35803</v>
      </c>
      <c r="L254" s="63" t="n">
        <v>46181</v>
      </c>
      <c r="M254" s="70" t="n">
        <v>10000</v>
      </c>
      <c r="N254" s="59" t="n"/>
      <c r="O254" s="64" t="n"/>
      <c r="P254" s="59" t="n"/>
      <c r="Q254" s="65" t="inlineStr">
        <is>
          <t>CARRY OUT REMEDIAL WORK REQUIRED TO BE TAKEN TO RENDER THE BUILDING SAFE AS STIPULATED IN ORDER TO COMPLY DATED OCT 28\97 AND ISSUED UNDER SUBSECTION 15(3) OF THE BUILDING CODE ACT. NOT APPROVED FOR ZONING PURPOSES. BP</t>
        </is>
      </c>
      <c r="R254" s="61" t="inlineStr">
        <is>
          <t>Map</t>
        </is>
      </c>
      <c r="S254" s="61" t="inlineStr">
        <is>
          <t>Raw data</t>
        </is>
      </c>
    </row>
    <row r="255" ht="42" customHeight="1">
      <c r="A255" s="59" t="inlineStr">
        <is>
          <t>65 Bristol Ave</t>
        </is>
      </c>
      <c r="B255" s="60" t="n">
        <v>131</v>
      </c>
      <c r="C255" s="59" t="inlineStr">
        <is>
          <t>331 Bartlett Ave N</t>
        </is>
      </c>
      <c r="D255" s="59" t="inlineStr">
        <is>
          <t>98 014974</t>
        </is>
      </c>
      <c r="E255" s="61" t="inlineStr">
        <is>
          <t>Building records request</t>
        </is>
      </c>
      <c r="F255" s="59" t="inlineStr">
        <is>
          <t>Addition or alteration</t>
        </is>
      </c>
      <c r="G255" s="59" t="inlineStr">
        <is>
          <t>Building Additions/Alterations</t>
        </is>
      </c>
      <c r="H255" s="59" t="inlineStr">
        <is>
          <t>Unknown</t>
        </is>
      </c>
      <c r="I255" s="59" t="inlineStr">
        <is>
          <t>under inspection</t>
        </is>
      </c>
      <c r="J255" s="63" t="n">
        <v>35886</v>
      </c>
      <c r="K255" s="63" t="n">
        <v>35899</v>
      </c>
      <c r="L255" s="63" t="n"/>
      <c r="M255" s="70" t="n">
        <v>4500</v>
      </c>
      <c r="N255" s="59" t="n"/>
      <c r="O255" s="64" t="n"/>
      <c r="P255" s="59" t="n"/>
      <c r="Q255" s="65" t="inlineStr">
        <is>
          <t>ALTER PLANS AS APPROVED UNDER PERMIT NO. 407254 BY CHANGING STORAGE LOFT LAYOUT, ALSO DEMOLISH UNSAFE STAIRS AT SOUTH ELEVATION ALSO ERECT BALCONIES. PURSUANT TO 15(3) ORDER NOT APPROVED FOR ZONING</t>
        </is>
      </c>
      <c r="R255" s="61" t="inlineStr">
        <is>
          <t>Map</t>
        </is>
      </c>
      <c r="S255" s="61" t="inlineStr">
        <is>
          <t>Raw data</t>
        </is>
      </c>
    </row>
    <row r="256" ht="16" customHeight="1">
      <c r="A256" s="59" t="inlineStr">
        <is>
          <t>65 Bristol Ave</t>
        </is>
      </c>
      <c r="B256" s="60" t="n">
        <v>132</v>
      </c>
      <c r="C256" s="59" t="inlineStr">
        <is>
          <t>393 Bartlett Ave N</t>
        </is>
      </c>
      <c r="D256" s="59" t="inlineStr">
        <is>
          <t>21 146928</t>
        </is>
      </c>
      <c r="E256" s="61" t="inlineStr">
        <is>
          <t>Building records request</t>
        </is>
      </c>
      <c r="F256" s="59" t="inlineStr">
        <is>
          <t>Addition or alteration</t>
        </is>
      </c>
      <c r="G256" s="59" t="inlineStr">
        <is>
          <t>Small Residential Projects</t>
        </is>
      </c>
      <c r="H256" s="59" t="inlineStr">
        <is>
          <t>SFD - Townhouse</t>
        </is>
      </c>
      <c r="I256" s="59" t="inlineStr">
        <is>
          <t>closed</t>
        </is>
      </c>
      <c r="J256" s="63" t="n">
        <v>44314</v>
      </c>
      <c r="K256" s="63" t="n">
        <v>44334</v>
      </c>
      <c r="L256" s="63" t="n">
        <v>44544</v>
      </c>
      <c r="M256" s="70" t="n"/>
      <c r="N256" s="59" t="inlineStr">
        <is>
          <t>Unreliable (zero or out of band)</t>
        </is>
      </c>
      <c r="O256" s="64" t="n"/>
      <c r="P256" s="59" t="n"/>
      <c r="Q256" s="65" t="inlineStr">
        <is>
          <t>Party Wall Admin permit regarding 391 Bartlett Ave N</t>
        </is>
      </c>
      <c r="R256" s="61" t="inlineStr">
        <is>
          <t>Map</t>
        </is>
      </c>
      <c r="S256" s="61" t="inlineStr">
        <is>
          <t>Raw data</t>
        </is>
      </c>
    </row>
    <row r="257" ht="42" customHeight="1">
      <c r="A257" s="59" t="inlineStr">
        <is>
          <t>65 Bristol Ave</t>
        </is>
      </c>
      <c r="B257" s="60" t="n">
        <v>133</v>
      </c>
      <c r="C257" s="59" t="inlineStr">
        <is>
          <t>1437 Dufferin St</t>
        </is>
      </c>
      <c r="D257" s="59" t="inlineStr">
        <is>
          <t>13 216214</t>
        </is>
      </c>
      <c r="E257" s="61" t="inlineStr">
        <is>
          <t>Building records request</t>
        </is>
      </c>
      <c r="F257" s="59" t="inlineStr">
        <is>
          <t>Addition or alteration</t>
        </is>
      </c>
      <c r="G257" s="59" t="inlineStr">
        <is>
          <t>Building Additions/Alterations; Mechanical(MS); Plumbing(PS)</t>
        </is>
      </c>
      <c r="H257" s="59" t="inlineStr">
        <is>
          <t>Multiple Unit Building</t>
        </is>
      </c>
      <c r="I257" s="59" t="inlineStr">
        <is>
          <t>closed</t>
        </is>
      </c>
      <c r="J257" s="63" t="n">
        <v>43020</v>
      </c>
      <c r="K257" s="63" t="n">
        <v>43216</v>
      </c>
      <c r="L257" s="63" t="n">
        <v>43684</v>
      </c>
      <c r="M257" s="70" t="n">
        <v>100000</v>
      </c>
      <c r="N257" s="59" t="n"/>
      <c r="O257" s="64" t="n">
        <v>1</v>
      </c>
      <c r="P257" s="59" t="n"/>
      <c r="Q257" s="65" t="inlineStr">
        <is>
          <t>Plumbing - Three storey addition to an existing 2 storey Commercial/Residential Building: (commercial use on ground floor, existing residential unit above to be enlarged).</t>
        </is>
      </c>
      <c r="R257" s="61" t="inlineStr">
        <is>
          <t>Map</t>
        </is>
      </c>
      <c r="S257" s="61" t="inlineStr">
        <is>
          <t>Raw data</t>
        </is>
      </c>
    </row>
    <row r="258" ht="81" customHeight="1">
      <c r="A258" s="59" t="inlineStr">
        <is>
          <t>65 Bristol Ave</t>
        </is>
      </c>
      <c r="B258" s="60" t="n">
        <v>134</v>
      </c>
      <c r="C258" s="59" t="inlineStr">
        <is>
          <t>1441 Dufferin St</t>
        </is>
      </c>
      <c r="D258" s="59" t="inlineStr">
        <is>
          <t>21 106363</t>
        </is>
      </c>
      <c r="E258" s="61" t="inlineStr">
        <is>
          <t>Building records request</t>
        </is>
      </c>
      <c r="F258" s="59" t="inlineStr">
        <is>
          <t>Addition or alteration</t>
        </is>
      </c>
      <c r="G258" s="59" t="inlineStr">
        <is>
          <t>Drain and Site Service; Mechanical(MS); Plumbing(PS); Small Residential Projects</t>
        </is>
      </c>
      <c r="H258" s="59" t="inlineStr">
        <is>
          <t>2 Unit - Detached; 3+ Unit - Detached</t>
        </is>
      </c>
      <c r="I258" s="59" t="inlineStr">
        <is>
          <t>closed</t>
        </is>
      </c>
      <c r="J258" s="63" t="n">
        <v>44215</v>
      </c>
      <c r="K258" s="63" t="n">
        <v>44229</v>
      </c>
      <c r="L258" s="63" t="n">
        <v>45068</v>
      </c>
      <c r="M258" s="70" t="n">
        <v>600000</v>
      </c>
      <c r="N258" s="59" t="n"/>
      <c r="O258" s="64" t="n"/>
      <c r="P258" s="59" t="n"/>
      <c r="Q258" s="65" t="inlineStr">
        <is>
          <t>Revision 02 - to convert from two units to four residential unitsRevision - minor interior framing changes, rear and front foundation wall changes and rear first floor brick wall finish.Proposed third floor addition, three storey rear addition, rear walkout, rear porch, and interior alterations (195.17m2) plus drain permit. Convert from an office/residential to two unit detached. Refer to related Zoning Certificate.</t>
        </is>
      </c>
      <c r="R258" s="61" t="inlineStr">
        <is>
          <t>Map</t>
        </is>
      </c>
      <c r="S258" s="61" t="inlineStr">
        <is>
          <t>Raw data</t>
        </is>
      </c>
    </row>
    <row r="259" ht="42" customHeight="1">
      <c r="A259" s="59" t="inlineStr">
        <is>
          <t>65 Bristol Ave</t>
        </is>
      </c>
      <c r="B259" s="60" t="n">
        <v>134</v>
      </c>
      <c r="C259" s="59" t="inlineStr">
        <is>
          <t>1439 Dufferin St</t>
        </is>
      </c>
      <c r="D259" s="59" t="inlineStr">
        <is>
          <t>24 245671</t>
        </is>
      </c>
      <c r="E259" s="61" t="inlineStr">
        <is>
          <t>Building records request</t>
        </is>
      </c>
      <c r="F259" s="59" t="inlineStr">
        <is>
          <t>Addition or alteration</t>
        </is>
      </c>
      <c r="G259" s="59" t="inlineStr">
        <is>
          <t>Building Additions/Alterations; Drain and Site Service</t>
        </is>
      </c>
      <c r="H259" s="59" t="inlineStr">
        <is>
          <t>Multiple Unit Building</t>
        </is>
      </c>
      <c r="I259" s="59" t="inlineStr">
        <is>
          <t>closed</t>
        </is>
      </c>
      <c r="J259" s="63" t="n">
        <v>45628</v>
      </c>
      <c r="K259" s="63" t="n">
        <v>45666</v>
      </c>
      <c r="L259" s="63" t="n">
        <v>45860</v>
      </c>
      <c r="M259" s="70" t="n">
        <v>2000</v>
      </c>
      <c r="N259" s="59" t="n"/>
      <c r="O259" s="64" t="n"/>
      <c r="P259" s="59" t="n"/>
      <c r="Q259" s="65" t="inlineStr">
        <is>
          <t>Drain - Proposed removing existing basment window in rear of property and construction a walkout basement including adding floor drain and underpining</t>
        </is>
      </c>
      <c r="R259" s="61" t="inlineStr">
        <is>
          <t>Map</t>
        </is>
      </c>
      <c r="S259" s="61" t="inlineStr">
        <is>
          <t>Raw data</t>
        </is>
      </c>
    </row>
    <row r="260" ht="16" customHeight="1">
      <c r="A260" s="59" t="inlineStr">
        <is>
          <t>65 Bristol Ave</t>
        </is>
      </c>
      <c r="B260" s="60" t="n">
        <v>135</v>
      </c>
      <c r="C260" s="59" t="inlineStr">
        <is>
          <t>397 Bartlett Ave N</t>
        </is>
      </c>
      <c r="D260" s="59" t="inlineStr">
        <is>
          <t>15 241718</t>
        </is>
      </c>
      <c r="E260" s="61" t="inlineStr">
        <is>
          <t>Building records request</t>
        </is>
      </c>
      <c r="F260" s="59" t="inlineStr">
        <is>
          <t>Addition or alteration</t>
        </is>
      </c>
      <c r="G260" s="59" t="inlineStr">
        <is>
          <t>Small Residential Projects</t>
        </is>
      </c>
      <c r="H260" s="59" t="inlineStr">
        <is>
          <t>SFD - Semi-Detached</t>
        </is>
      </c>
      <c r="I260" s="59" t="inlineStr">
        <is>
          <t>closed</t>
        </is>
      </c>
      <c r="J260" s="63" t="n">
        <v>42300</v>
      </c>
      <c r="K260" s="63" t="n">
        <v>42410</v>
      </c>
      <c r="L260" s="63" t="n">
        <v>43336</v>
      </c>
      <c r="M260" s="70" t="n">
        <v>16000</v>
      </c>
      <c r="N260" s="59" t="n"/>
      <c r="O260" s="64" t="n"/>
      <c r="P260" s="59" t="n"/>
      <c r="Q260" s="65" t="inlineStr">
        <is>
          <t>Proposal for detached garage at rear yard.</t>
        </is>
      </c>
      <c r="R260" s="61" t="inlineStr">
        <is>
          <t>Map</t>
        </is>
      </c>
      <c r="S260" s="61" t="inlineStr">
        <is>
          <t>Raw data</t>
        </is>
      </c>
    </row>
    <row r="261" ht="16" customHeight="1">
      <c r="A261" s="59" t="inlineStr">
        <is>
          <t>65 Bristol Ave</t>
        </is>
      </c>
      <c r="B261" s="60" t="n">
        <v>137</v>
      </c>
      <c r="C261" s="59" t="inlineStr">
        <is>
          <t>402 Bartlett Ave N</t>
        </is>
      </c>
      <c r="D261" s="59" t="inlineStr">
        <is>
          <t>16 141566</t>
        </is>
      </c>
      <c r="E261" s="61" t="inlineStr">
        <is>
          <t>Building records request</t>
        </is>
      </c>
      <c r="F261" s="59" t="inlineStr">
        <is>
          <t>Addition or alteration</t>
        </is>
      </c>
      <c r="G261" s="59" t="inlineStr">
        <is>
          <t>Small Residential Projects</t>
        </is>
      </c>
      <c r="H261" s="59" t="inlineStr">
        <is>
          <t>SFD - Townhouse</t>
        </is>
      </c>
      <c r="I261" s="59" t="inlineStr">
        <is>
          <t>closed</t>
        </is>
      </c>
      <c r="J261" s="63" t="n">
        <v>42477</v>
      </c>
      <c r="K261" s="63" t="n">
        <v>42493</v>
      </c>
      <c r="L261" s="63" t="n">
        <v>46140</v>
      </c>
      <c r="M261" s="70" t="n">
        <v>50000</v>
      </c>
      <c r="N261" s="59" t="n"/>
      <c r="O261" s="64" t="n"/>
      <c r="P261" s="59" t="n"/>
      <c r="Q261" s="65" t="inlineStr">
        <is>
          <t>construct 2nd storey rear addition</t>
        </is>
      </c>
      <c r="R261" s="61" t="inlineStr">
        <is>
          <t>Map</t>
        </is>
      </c>
      <c r="S261" s="61" t="inlineStr">
        <is>
          <t>Raw data</t>
        </is>
      </c>
    </row>
    <row r="262" ht="29" customHeight="1">
      <c r="A262" s="59" t="inlineStr">
        <is>
          <t>65 Bristol Ave</t>
        </is>
      </c>
      <c r="B262" s="60" t="n">
        <v>139</v>
      </c>
      <c r="C262" s="59" t="inlineStr">
        <is>
          <t>399 Bartlett Ave N</t>
        </is>
      </c>
      <c r="D262" s="59" t="inlineStr">
        <is>
          <t>10 263908</t>
        </is>
      </c>
      <c r="E262" s="61" t="inlineStr">
        <is>
          <t>Building records request</t>
        </is>
      </c>
      <c r="F262" s="59" t="inlineStr">
        <is>
          <t>Other</t>
        </is>
      </c>
      <c r="G262" s="59" t="inlineStr">
        <is>
          <t>Plumbing(PS)</t>
        </is>
      </c>
      <c r="H262" s="59" t="inlineStr">
        <is>
          <t>SFD - Semi-Detached</t>
        </is>
      </c>
      <c r="I262" s="59" t="inlineStr">
        <is>
          <t>closed</t>
        </is>
      </c>
      <c r="J262" s="63" t="n">
        <v>40444</v>
      </c>
      <c r="K262" s="63" t="n">
        <v>40469</v>
      </c>
      <c r="L262" s="63" t="n">
        <v>45923</v>
      </c>
      <c r="M262" s="70" t="n"/>
      <c r="N262" s="59" t="inlineStr">
        <is>
          <t>Not declared</t>
        </is>
      </c>
      <c r="O262" s="64" t="n"/>
      <c r="P262" s="59" t="n"/>
      <c r="Q262" s="65" t="inlineStr">
        <is>
          <t>Plumbing - Proposed finishing of basement and enlarge second floor window at front of existing two storey semi-detached dwelling.</t>
        </is>
      </c>
      <c r="R262" s="61" t="inlineStr">
        <is>
          <t>Map</t>
        </is>
      </c>
      <c r="S262" s="61" t="inlineStr">
        <is>
          <t>Raw data</t>
        </is>
      </c>
    </row>
    <row r="263" ht="16" customHeight="1">
      <c r="A263" s="59" t="inlineStr">
        <is>
          <t>65 Bristol Ave</t>
        </is>
      </c>
      <c r="B263" s="60" t="n">
        <v>139</v>
      </c>
      <c r="C263" s="59" t="inlineStr">
        <is>
          <t>401 Bartlett Ave N</t>
        </is>
      </c>
      <c r="D263" s="59" t="inlineStr">
        <is>
          <t>24 108608</t>
        </is>
      </c>
      <c r="E263" s="61" t="inlineStr">
        <is>
          <t>Building records request</t>
        </is>
      </c>
      <c r="F263" s="59" t="inlineStr">
        <is>
          <t>Other</t>
        </is>
      </c>
      <c r="G263" s="59" t="inlineStr">
        <is>
          <t>Drain and Site Service</t>
        </is>
      </c>
      <c r="H263" s="59" t="inlineStr">
        <is>
          <t>SFD - Detached</t>
        </is>
      </c>
      <c r="I263" s="59" t="inlineStr">
        <is>
          <t>closed</t>
        </is>
      </c>
      <c r="J263" s="63" t="n">
        <v>45317</v>
      </c>
      <c r="K263" s="63" t="n">
        <v>45317</v>
      </c>
      <c r="L263" s="63" t="n">
        <v>45330</v>
      </c>
      <c r="M263" s="70" t="n"/>
      <c r="N263" s="59" t="inlineStr">
        <is>
          <t>Not declared</t>
        </is>
      </c>
      <c r="O263" s="64" t="n"/>
      <c r="P263" s="59" t="n"/>
      <c r="Q263" s="65" t="inlineStr">
        <is>
          <t>Back Water Valve for SFD</t>
        </is>
      </c>
      <c r="R263" s="61" t="inlineStr">
        <is>
          <t>Map</t>
        </is>
      </c>
      <c r="S263" s="61" t="inlineStr">
        <is>
          <t>Raw data</t>
        </is>
      </c>
    </row>
    <row r="264" ht="16" customHeight="1">
      <c r="A264" s="59" t="inlineStr">
        <is>
          <t>65 Bristol Ave</t>
        </is>
      </c>
      <c r="B264" s="60" t="n">
        <v>142</v>
      </c>
      <c r="C264" s="59" t="inlineStr">
        <is>
          <t>404 Bartlett Ave N</t>
        </is>
      </c>
      <c r="D264" s="59" t="inlineStr">
        <is>
          <t>16 141564</t>
        </is>
      </c>
      <c r="E264" s="61" t="inlineStr">
        <is>
          <t>Building records request</t>
        </is>
      </c>
      <c r="F264" s="59" t="inlineStr">
        <is>
          <t>Addition or alteration</t>
        </is>
      </c>
      <c r="G264" s="59" t="inlineStr">
        <is>
          <t>Plumbing(PS); Small Residential Projects</t>
        </is>
      </c>
      <c r="H264" s="59" t="inlineStr">
        <is>
          <t>SFD - Townhouse</t>
        </is>
      </c>
      <c r="I264" s="59" t="inlineStr">
        <is>
          <t>closed</t>
        </is>
      </c>
      <c r="J264" s="63" t="n">
        <v>42477</v>
      </c>
      <c r="K264" s="63" t="n">
        <v>42493</v>
      </c>
      <c r="L264" s="63" t="n">
        <v>46140</v>
      </c>
      <c r="M264" s="70" t="n">
        <v>50000</v>
      </c>
      <c r="N264" s="59" t="n"/>
      <c r="O264" s="64" t="n"/>
      <c r="P264" s="59" t="n"/>
      <c r="Q264" s="65" t="inlineStr">
        <is>
          <t>Plumbing - construct 2nd storey addition at rear</t>
        </is>
      </c>
      <c r="R264" s="61" t="inlineStr">
        <is>
          <t>Map</t>
        </is>
      </c>
      <c r="S264" s="61" t="inlineStr">
        <is>
          <t>Raw data</t>
        </is>
      </c>
    </row>
    <row r="265" ht="29" customHeight="1">
      <c r="A265" s="59" t="inlineStr">
        <is>
          <t>65 Bristol Ave</t>
        </is>
      </c>
      <c r="B265" s="60" t="n">
        <v>145</v>
      </c>
      <c r="C265" s="59" t="inlineStr">
        <is>
          <t>7 Bristol Ave</t>
        </is>
      </c>
      <c r="D265" s="59" t="inlineStr">
        <is>
          <t>24 154743</t>
        </is>
      </c>
      <c r="E265" s="61" t="inlineStr">
        <is>
          <t>Building records request</t>
        </is>
      </c>
      <c r="F265" s="59" t="inlineStr">
        <is>
          <t>Demolition</t>
        </is>
      </c>
      <c r="G265" s="59" t="inlineStr">
        <is>
          <t>Demolition Folder (DM)</t>
        </is>
      </c>
      <c r="H265" s="59" t="inlineStr">
        <is>
          <t>SFD - Detached</t>
        </is>
      </c>
      <c r="I265" s="59" t="inlineStr">
        <is>
          <t>closed</t>
        </is>
      </c>
      <c r="J265" s="63" t="n">
        <v>45439</v>
      </c>
      <c r="K265" s="63" t="n">
        <v>45553</v>
      </c>
      <c r="L265" s="63" t="n">
        <v>45818</v>
      </c>
      <c r="M265" s="70" t="n"/>
      <c r="N265" s="59" t="inlineStr">
        <is>
          <t>Unreliable (zero or out of band)</t>
        </is>
      </c>
      <c r="O265" s="64" t="n"/>
      <c r="P265" s="59" t="n"/>
      <c r="Q265" s="65" t="inlineStr">
        <is>
          <t>Proposed demolistion of the existing dwelling and construction of a new 3-storey 4-unit dwelling.</t>
        </is>
      </c>
      <c r="R265" s="61" t="inlineStr">
        <is>
          <t>Map</t>
        </is>
      </c>
      <c r="S265" s="61" t="inlineStr">
        <is>
          <t>Raw data</t>
        </is>
      </c>
    </row>
    <row r="266" ht="42" customHeight="1">
      <c r="A266" s="59" t="inlineStr">
        <is>
          <t>65 Bristol Ave</t>
        </is>
      </c>
      <c r="B266" s="60" t="n">
        <v>145</v>
      </c>
      <c r="C266" s="59" t="inlineStr">
        <is>
          <t>7 Bristol Ave</t>
        </is>
      </c>
      <c r="D266" s="59" t="inlineStr">
        <is>
          <t>24 154760</t>
        </is>
      </c>
      <c r="E266" s="61" t="inlineStr">
        <is>
          <t>Check permit status</t>
        </is>
      </c>
      <c r="F266" s="59" t="inlineStr">
        <is>
          <t>New building</t>
        </is>
      </c>
      <c r="G266" s="59" t="inlineStr">
        <is>
          <t>Plumbing(PS); Mechanical(MS); New Houses; Drain and Site Service</t>
        </is>
      </c>
      <c r="H266" s="59" t="inlineStr">
        <is>
          <t>3+ Unit - Detached</t>
        </is>
      </c>
      <c r="I266" s="59" t="inlineStr">
        <is>
          <t>under inspection</t>
        </is>
      </c>
      <c r="J266" s="63" t="n">
        <v>45476</v>
      </c>
      <c r="K266" s="63" t="n">
        <v>45553</v>
      </c>
      <c r="L266" s="63" t="n">
        <v>45959</v>
      </c>
      <c r="M266" s="70" t="n">
        <v>600000</v>
      </c>
      <c r="N266" s="59" t="n"/>
      <c r="O266" s="64" t="n">
        <v>4</v>
      </c>
      <c r="P266" s="59" t="n"/>
      <c r="Q266" s="65" t="inlineStr">
        <is>
          <t>Revision 01 - Replacing insulation with spray foam insulation and delete chair lift at the rear.Proposed demolition of the existing dwelling and construction of a new 3-storey 4-unit dwelling.</t>
        </is>
      </c>
      <c r="R266" s="61" t="inlineStr">
        <is>
          <t>Map</t>
        </is>
      </c>
      <c r="S266" s="61" t="inlineStr">
        <is>
          <t>Raw data</t>
        </is>
      </c>
    </row>
    <row r="267" ht="16" customHeight="1">
      <c r="A267" s="59" t="inlineStr">
        <is>
          <t>65 Bristol Ave</t>
        </is>
      </c>
      <c r="B267" s="60" t="n">
        <v>149</v>
      </c>
      <c r="C267" s="59" t="inlineStr">
        <is>
          <t>121 Bristol Ave</t>
        </is>
      </c>
      <c r="D267" s="59" t="inlineStr">
        <is>
          <t>12 181502</t>
        </is>
      </c>
      <c r="E267" s="61" t="inlineStr">
        <is>
          <t>Building records request</t>
        </is>
      </c>
      <c r="F267" s="59" t="inlineStr">
        <is>
          <t>Other</t>
        </is>
      </c>
      <c r="G267" s="59" t="inlineStr">
        <is>
          <t>Plumbing(PS)</t>
        </is>
      </c>
      <c r="H267" s="59" t="inlineStr">
        <is>
          <t>SFD - Detached</t>
        </is>
      </c>
      <c r="I267" s="59" t="inlineStr">
        <is>
          <t>closed</t>
        </is>
      </c>
      <c r="J267" s="63" t="n">
        <v>41057</v>
      </c>
      <c r="K267" s="63" t="n">
        <v>41057</v>
      </c>
      <c r="L267" s="63" t="n">
        <v>45978</v>
      </c>
      <c r="M267" s="70" t="n">
        <v>2000</v>
      </c>
      <c r="N267" s="59" t="n"/>
      <c r="O267" s="64" t="n"/>
      <c r="P267" s="59" t="n"/>
      <c r="Q267" s="65" t="inlineStr">
        <is>
          <t>New 3/4 in water line to dwelling</t>
        </is>
      </c>
      <c r="R267" s="61" t="inlineStr">
        <is>
          <t>Map</t>
        </is>
      </c>
      <c r="S267" s="61" t="inlineStr">
        <is>
          <t>Raw data</t>
        </is>
      </c>
    </row>
    <row r="268" ht="29" customHeight="1">
      <c r="A268" s="59" t="inlineStr">
        <is>
          <t>65 Bristol Ave</t>
        </is>
      </c>
      <c r="B268" s="60" t="n">
        <v>149</v>
      </c>
      <c r="C268" s="59" t="inlineStr">
        <is>
          <t>1455 Dufferin St</t>
        </is>
      </c>
      <c r="D268" s="59" t="inlineStr">
        <is>
          <t>14 251151</t>
        </is>
      </c>
      <c r="E268" s="61" t="inlineStr">
        <is>
          <t>Building records request</t>
        </is>
      </c>
      <c r="F268" s="59" t="inlineStr">
        <is>
          <t>Demolition</t>
        </is>
      </c>
      <c r="G268" s="59" t="inlineStr">
        <is>
          <t>Demolition Folder (DM)</t>
        </is>
      </c>
      <c r="H268" s="59" t="inlineStr">
        <is>
          <t>Gas Station/Car Wash/Repair Garage</t>
        </is>
      </c>
      <c r="I268" s="59" t="inlineStr">
        <is>
          <t>closed</t>
        </is>
      </c>
      <c r="J268" s="63" t="n">
        <v>41956</v>
      </c>
      <c r="K268" s="63" t="n">
        <v>43166</v>
      </c>
      <c r="L268" s="63" t="n">
        <v>43217</v>
      </c>
      <c r="M268" s="70" t="n"/>
      <c r="N268" s="59" t="inlineStr">
        <is>
          <t>Unreliable (zero or out of band)</t>
        </is>
      </c>
      <c r="O268" s="64" t="n"/>
      <c r="P268" s="59" t="n"/>
      <c r="Q268" s="65" t="inlineStr">
        <is>
          <t>To demolish 2-storey existing concrete block automotive repair shop and an abutted 1-storey metal clad building (refer to 14-223934 ZR).</t>
        </is>
      </c>
      <c r="R268" s="61" t="inlineStr">
        <is>
          <t>Map</t>
        </is>
      </c>
      <c r="S268" s="61" t="inlineStr">
        <is>
          <t>Raw data</t>
        </is>
      </c>
    </row>
    <row r="269" ht="29" customHeight="1">
      <c r="A269" s="59" t="inlineStr">
        <is>
          <t>65 Bristol Ave</t>
        </is>
      </c>
      <c r="B269" s="60" t="n">
        <v>149</v>
      </c>
      <c r="C269" s="59" t="inlineStr">
        <is>
          <t>121 Bristol Ave</t>
        </is>
      </c>
      <c r="D269" s="59" t="inlineStr">
        <is>
          <t>18 135805</t>
        </is>
      </c>
      <c r="E269" s="61" t="inlineStr">
        <is>
          <t>Building records request</t>
        </is>
      </c>
      <c r="F269" s="59" t="inlineStr">
        <is>
          <t>Addition or alteration</t>
        </is>
      </c>
      <c r="G269" s="59" t="inlineStr">
        <is>
          <t>Plumbing(PS); Small Residential Projects</t>
        </is>
      </c>
      <c r="H269" s="59" t="inlineStr">
        <is>
          <t>SFD - Semi-Detached</t>
        </is>
      </c>
      <c r="I269" s="59" t="inlineStr">
        <is>
          <t>closed</t>
        </is>
      </c>
      <c r="J269" s="63" t="n">
        <v>43187</v>
      </c>
      <c r="K269" s="63" t="n">
        <v>43229</v>
      </c>
      <c r="L269" s="63" t="n">
        <v>45978</v>
      </c>
      <c r="M269" s="70" t="n">
        <v>20000</v>
      </c>
      <c r="N269" s="59" t="n"/>
      <c r="O269" s="64" t="n"/>
      <c r="P269" s="59" t="n"/>
      <c r="Q269" s="65" t="inlineStr">
        <is>
          <t>Plumbing - Proposal for a rear two storey addition and a rear deck to existing SFD-Semi</t>
        </is>
      </c>
      <c r="R269" s="61" t="inlineStr">
        <is>
          <t>Map</t>
        </is>
      </c>
      <c r="S269" s="61" t="inlineStr">
        <is>
          <t>Raw data</t>
        </is>
      </c>
    </row>
    <row r="270" ht="29" customHeight="1">
      <c r="A270" s="59" t="inlineStr">
        <is>
          <t>65 Bristol Ave</t>
        </is>
      </c>
      <c r="B270" s="60" t="n">
        <v>156</v>
      </c>
      <c r="C270" s="59" t="inlineStr">
        <is>
          <t>123 Bristol Ave</t>
        </is>
      </c>
      <c r="D270" s="59" t="inlineStr">
        <is>
          <t>24 175840</t>
        </is>
      </c>
      <c r="E270" s="61" t="inlineStr">
        <is>
          <t>Building records request</t>
        </is>
      </c>
      <c r="F270" s="59" t="inlineStr">
        <is>
          <t>Addition or alteration</t>
        </is>
      </c>
      <c r="G270" s="59" t="inlineStr">
        <is>
          <t>Mechanical(MS); Plumbing(PS); Small Residential Projects; Drain and Site Service</t>
        </is>
      </c>
      <c r="H270" s="59" t="inlineStr">
        <is>
          <t>Laneway / Rear Yard Suite</t>
        </is>
      </c>
      <c r="I270" s="59" t="inlineStr">
        <is>
          <t>closed</t>
        </is>
      </c>
      <c r="J270" s="63" t="n">
        <v>45479</v>
      </c>
      <c r="K270" s="63" t="n">
        <v>45534</v>
      </c>
      <c r="L270" s="63" t="n">
        <v>46150</v>
      </c>
      <c r="M270" s="70" t="n">
        <v>600000</v>
      </c>
      <c r="N270" s="59" t="n"/>
      <c r="O270" s="64" t="n">
        <v>1</v>
      </c>
      <c r="P270" s="59" t="n"/>
      <c r="Q270" s="65" t="inlineStr">
        <is>
          <t>REV 01: Revised balcony overhang.Construction of a new detached laneway suite</t>
        </is>
      </c>
      <c r="R270" s="61" t="inlineStr">
        <is>
          <t>Map</t>
        </is>
      </c>
      <c r="S270" s="61" t="inlineStr">
        <is>
          <t>Raw data</t>
        </is>
      </c>
    </row>
    <row r="271" ht="16" customHeight="1">
      <c r="A271" s="59" t="inlineStr">
        <is>
          <t>65 Bristol Ave</t>
        </is>
      </c>
      <c r="B271" s="60" t="n">
        <v>159</v>
      </c>
      <c r="C271" s="59" t="inlineStr">
        <is>
          <t>407 Bartlett Ave N</t>
        </is>
      </c>
      <c r="D271" s="59" t="inlineStr">
        <is>
          <t>16 152032</t>
        </is>
      </c>
      <c r="E271" s="61" t="inlineStr">
        <is>
          <t>Building records request</t>
        </is>
      </c>
      <c r="F271" s="59" t="inlineStr">
        <is>
          <t>Addition or alteration</t>
        </is>
      </c>
      <c r="G271" s="59" t="inlineStr">
        <is>
          <t>Small Residential Projects</t>
        </is>
      </c>
      <c r="H271" s="59" t="inlineStr">
        <is>
          <t>SFD - Detached</t>
        </is>
      </c>
      <c r="I271" s="59" t="inlineStr">
        <is>
          <t>closed</t>
        </is>
      </c>
      <c r="J271" s="63" t="n">
        <v>42499</v>
      </c>
      <c r="K271" s="63" t="n">
        <v>42507</v>
      </c>
      <c r="L271" s="63" t="n">
        <v>44960</v>
      </c>
      <c r="M271" s="70" t="n">
        <v>5000</v>
      </c>
      <c r="N271" s="59" t="n"/>
      <c r="O271" s="64" t="n"/>
      <c r="P271" s="59" t="n"/>
      <c r="Q271" s="65" t="inlineStr">
        <is>
          <t>Proposed rear yard garage.</t>
        </is>
      </c>
      <c r="R271" s="61" t="inlineStr">
        <is>
          <t>Map</t>
        </is>
      </c>
      <c r="S271" s="61" t="inlineStr">
        <is>
          <t>Raw data</t>
        </is>
      </c>
    </row>
    <row r="272" ht="29" customHeight="1">
      <c r="A272" s="59" t="inlineStr">
        <is>
          <t>65 Bristol Ave</t>
        </is>
      </c>
      <c r="B272" s="60" t="n">
        <v>161</v>
      </c>
      <c r="C272" s="59" t="inlineStr">
        <is>
          <t>1477 Dufferin St</t>
        </is>
      </c>
      <c r="D272" s="59" t="inlineStr">
        <is>
          <t>13 149308</t>
        </is>
      </c>
      <c r="E272" s="61" t="inlineStr">
        <is>
          <t>Building records request</t>
        </is>
      </c>
      <c r="F272" s="59" t="inlineStr">
        <is>
          <t>Addition or alteration</t>
        </is>
      </c>
      <c r="G272" s="59" t="inlineStr">
        <is>
          <t>Fire/Security Upgrade; Building Additions/Alterations</t>
        </is>
      </c>
      <c r="H272" s="59" t="inlineStr">
        <is>
          <t>Elementary School</t>
        </is>
      </c>
      <c r="I272" s="59" t="inlineStr">
        <is>
          <t>application on hold</t>
        </is>
      </c>
      <c r="J272" s="63" t="n">
        <v>41393</v>
      </c>
      <c r="K272" s="63" t="n">
        <v>41396</v>
      </c>
      <c r="L272" s="63" t="n"/>
      <c r="M272" s="70" t="n">
        <v>30000</v>
      </c>
      <c r="N272" s="59" t="n"/>
      <c r="O272" s="64" t="n"/>
      <c r="P272" s="59" t="n"/>
      <c r="Q272" s="65" t="inlineStr">
        <is>
          <t>FS - Sprinkler Shop Drawing - Interior alteration to kindergarten rooms.</t>
        </is>
      </c>
      <c r="R272" s="61" t="inlineStr">
        <is>
          <t>Map</t>
        </is>
      </c>
      <c r="S272" s="61" t="inlineStr">
        <is>
          <t>Raw data</t>
        </is>
      </c>
    </row>
    <row r="273" ht="16" customHeight="1">
      <c r="A273" s="59" t="inlineStr">
        <is>
          <t>65 Bristol Ave</t>
        </is>
      </c>
      <c r="B273" s="60" t="n">
        <v>161</v>
      </c>
      <c r="C273" s="59" t="inlineStr">
        <is>
          <t>1477 Dufferin St</t>
        </is>
      </c>
      <c r="D273" s="59" t="inlineStr">
        <is>
          <t>22 219091</t>
        </is>
      </c>
      <c r="E273" s="61" t="inlineStr">
        <is>
          <t>Building records request</t>
        </is>
      </c>
      <c r="F273" s="59" t="inlineStr">
        <is>
          <t>Other</t>
        </is>
      </c>
      <c r="G273" s="59" t="inlineStr">
        <is>
          <t>Mechanical(MS)</t>
        </is>
      </c>
      <c r="H273" s="59" t="inlineStr">
        <is>
          <t>Secondary School</t>
        </is>
      </c>
      <c r="I273" s="59" t="inlineStr">
        <is>
          <t>closed</t>
        </is>
      </c>
      <c r="J273" s="63" t="n">
        <v>44853</v>
      </c>
      <c r="K273" s="63" t="n">
        <v>44888</v>
      </c>
      <c r="L273" s="63" t="n">
        <v>45140</v>
      </c>
      <c r="M273" s="70" t="n">
        <v>10000</v>
      </c>
      <c r="N273" s="59" t="n"/>
      <c r="O273" s="64" t="n"/>
      <c r="P273" s="59" t="n"/>
      <c r="Q273" s="65" t="inlineStr">
        <is>
          <t>Air condiitoning installation in the Library</t>
        </is>
      </c>
      <c r="R273" s="61" t="inlineStr">
        <is>
          <t>Map</t>
        </is>
      </c>
      <c r="S273" s="61" t="inlineStr">
        <is>
          <t>Raw data</t>
        </is>
      </c>
    </row>
    <row r="274" ht="16" customHeight="1">
      <c r="A274" s="59" t="inlineStr">
        <is>
          <t>65 Bristol Ave</t>
        </is>
      </c>
      <c r="B274" s="60" t="n">
        <v>161</v>
      </c>
      <c r="C274" s="59" t="inlineStr">
        <is>
          <t>1477 Dufferin St</t>
        </is>
      </c>
      <c r="D274" s="59" t="inlineStr">
        <is>
          <t>26 150320</t>
        </is>
      </c>
      <c r="E274" s="61" t="inlineStr">
        <is>
          <t>Check permit status</t>
        </is>
      </c>
      <c r="F274" s="59" t="inlineStr">
        <is>
          <t>Addition or alteration</t>
        </is>
      </c>
      <c r="G274" s="59" t="inlineStr">
        <is>
          <t>Building Additions/Alterations</t>
        </is>
      </c>
      <c r="H274" s="59" t="inlineStr">
        <is>
          <t>Elementary School</t>
        </is>
      </c>
      <c r="I274" s="59" t="inlineStr">
        <is>
          <t>issued</t>
        </is>
      </c>
      <c r="J274" s="63" t="n">
        <v>46139</v>
      </c>
      <c r="K274" s="63" t="n">
        <v>46170</v>
      </c>
      <c r="L274" s="63" t="n"/>
      <c r="M274" s="70" t="n">
        <v>31500</v>
      </c>
      <c r="N274" s="59" t="n"/>
      <c r="O274" s="64" t="n"/>
      <c r="P274" s="59" t="n"/>
      <c r="Q274" s="65" t="inlineStr">
        <is>
          <t>Proposal Removal and Replacement of a Third Floor Support Beam</t>
        </is>
      </c>
      <c r="R274" s="61" t="inlineStr">
        <is>
          <t>Map</t>
        </is>
      </c>
      <c r="S274" s="61" t="inlineStr">
        <is>
          <t>Raw data</t>
        </is>
      </c>
    </row>
    <row r="275" ht="16" customHeight="1">
      <c r="A275" s="59" t="inlineStr">
        <is>
          <t>65 Bristol Ave</t>
        </is>
      </c>
      <c r="B275" s="60" t="n">
        <v>164</v>
      </c>
      <c r="C275" s="59" t="inlineStr">
        <is>
          <t>466 Salem Ave N</t>
        </is>
      </c>
      <c r="D275" s="59" t="inlineStr">
        <is>
          <t>24 208650</t>
        </is>
      </c>
      <c r="E275" s="61" t="inlineStr">
        <is>
          <t>Building records request</t>
        </is>
      </c>
      <c r="F275" s="59" t="inlineStr">
        <is>
          <t>Addition or alteration</t>
        </is>
      </c>
      <c r="G275" s="59" t="inlineStr">
        <is>
          <t>Small Residential Projects</t>
        </is>
      </c>
      <c r="H275" s="59" t="inlineStr">
        <is>
          <t>SFD - Detached</t>
        </is>
      </c>
      <c r="I275" s="59" t="inlineStr">
        <is>
          <t>cancelled</t>
        </is>
      </c>
      <c r="J275" s="63" t="n">
        <v>45540</v>
      </c>
      <c r="K275" s="63" t="n"/>
      <c r="L275" s="63" t="n">
        <v>45849</v>
      </c>
      <c r="M275" s="70" t="n">
        <v>7000</v>
      </c>
      <c r="N275" s="59" t="n"/>
      <c r="O275" s="64" t="n"/>
      <c r="P275" s="59" t="n"/>
      <c r="Q275" s="65" t="inlineStr">
        <is>
          <t>Proposed carport as built.</t>
        </is>
      </c>
      <c r="R275" s="61" t="inlineStr">
        <is>
          <t>Map</t>
        </is>
      </c>
      <c r="S275" s="61" t="inlineStr">
        <is>
          <t>Raw data</t>
        </is>
      </c>
    </row>
    <row r="276" ht="42" customHeight="1">
      <c r="A276" s="59" t="inlineStr">
        <is>
          <t>65 Bristol Ave</t>
        </is>
      </c>
      <c r="B276" s="60" t="n">
        <v>165</v>
      </c>
      <c r="C276" s="59" t="inlineStr">
        <is>
          <t>450 Salem Ave N</t>
        </is>
      </c>
      <c r="D276" s="59" t="inlineStr">
        <is>
          <t>18 109551</t>
        </is>
      </c>
      <c r="E276" s="61" t="inlineStr">
        <is>
          <t>Check permit status</t>
        </is>
      </c>
      <c r="F276" s="59" t="inlineStr">
        <is>
          <t>Addition or alteration</t>
        </is>
      </c>
      <c r="G276" s="59" t="inlineStr">
        <is>
          <t>Small Residential Projects; Mechanical(MS); Plumbing(PS)</t>
        </is>
      </c>
      <c r="H276" s="59" t="inlineStr">
        <is>
          <t>SFD - Detached</t>
        </is>
      </c>
      <c r="I276" s="59" t="inlineStr">
        <is>
          <t>under inspection</t>
        </is>
      </c>
      <c r="J276" s="63" t="n">
        <v>43125</v>
      </c>
      <c r="K276" s="63" t="n">
        <v>43132</v>
      </c>
      <c r="L276" s="63" t="n">
        <v>46191</v>
      </c>
      <c r="M276" s="70" t="n">
        <v>60000</v>
      </c>
      <c r="N276" s="59" t="n"/>
      <c r="O276" s="64" t="n"/>
      <c r="P276" s="59" t="n"/>
      <c r="Q276" s="65" t="inlineStr">
        <is>
          <t>HVAC - Interior alterations to second floor and remove main floor bearing wall between kitchen and dinning, retrofit main floor kitchen. New bathroom proposed.</t>
        </is>
      </c>
      <c r="R276" s="61" t="inlineStr">
        <is>
          <t>Map</t>
        </is>
      </c>
      <c r="S276" s="61" t="inlineStr">
        <is>
          <t>Raw data</t>
        </is>
      </c>
    </row>
    <row r="277" ht="16" customHeight="1">
      <c r="A277" s="59" t="inlineStr">
        <is>
          <t>65 Bristol Ave</t>
        </is>
      </c>
      <c r="B277" s="60" t="n">
        <v>166</v>
      </c>
      <c r="C277" s="59" t="inlineStr">
        <is>
          <t>446 Salem Ave N</t>
        </is>
      </c>
      <c r="D277" s="59" t="inlineStr">
        <is>
          <t>07 224126</t>
        </is>
      </c>
      <c r="E277" s="61" t="inlineStr">
        <is>
          <t>Building records request</t>
        </is>
      </c>
      <c r="F277" s="59" t="inlineStr">
        <is>
          <t>Addition or alteration</t>
        </is>
      </c>
      <c r="G277" s="59" t="inlineStr">
        <is>
          <t>Small Residential Projects</t>
        </is>
      </c>
      <c r="H277" s="59" t="inlineStr">
        <is>
          <t>SFD - Detached</t>
        </is>
      </c>
      <c r="I277" s="59" t="inlineStr">
        <is>
          <t>under inspection</t>
        </is>
      </c>
      <c r="J277" s="63" t="n">
        <v>39231</v>
      </c>
      <c r="K277" s="63" t="n">
        <v>39629</v>
      </c>
      <c r="L277" s="63" t="n"/>
      <c r="M277" s="70" t="n">
        <v>10000</v>
      </c>
      <c r="N277" s="59" t="n"/>
      <c r="O277" s="64" t="n"/>
      <c r="P277" s="59" t="n"/>
      <c r="Q277" s="65" t="inlineStr">
        <is>
          <t>New detached garage to rear of single family dwelling.</t>
        </is>
      </c>
      <c r="R277" s="61" t="inlineStr">
        <is>
          <t>Map</t>
        </is>
      </c>
      <c r="S277" s="61" t="inlineStr">
        <is>
          <t>Raw data</t>
        </is>
      </c>
    </row>
    <row r="278" ht="55" customHeight="1">
      <c r="A278" s="59" t="inlineStr">
        <is>
          <t>65 Bristol Ave</t>
        </is>
      </c>
      <c r="B278" s="60" t="n">
        <v>166</v>
      </c>
      <c r="C278" s="59" t="inlineStr">
        <is>
          <t>1381 Dufferin St</t>
        </is>
      </c>
      <c r="D278" s="59" t="inlineStr">
        <is>
          <t>18 246139</t>
        </is>
      </c>
      <c r="E278" s="61" t="inlineStr">
        <is>
          <t>Building records request</t>
        </is>
      </c>
      <c r="F278" s="59" t="inlineStr">
        <is>
          <t>Addition or alteration</t>
        </is>
      </c>
      <c r="G278" s="59" t="inlineStr">
        <is>
          <t>Conditional Permit; Building Additions/Alterations; Mechanical(MS); Plumbing(PS)</t>
        </is>
      </c>
      <c r="H278" s="59" t="inlineStr">
        <is>
          <t>Multiple Unit Building</t>
        </is>
      </c>
      <c r="I278" s="59" t="inlineStr">
        <is>
          <t>closed</t>
        </is>
      </c>
      <c r="J278" s="63" t="n">
        <v>43398</v>
      </c>
      <c r="K278" s="63" t="n">
        <v>43404</v>
      </c>
      <c r="L278" s="63" t="n">
        <v>43914</v>
      </c>
      <c r="M278" s="70" t="n"/>
      <c r="N278" s="59" t="inlineStr">
        <is>
          <t>Unreliable (zero or out of band)</t>
        </is>
      </c>
      <c r="O278" s="64" t="n"/>
      <c r="P278" s="59" t="n"/>
      <c r="Q278" s="65" t="inlineStr">
        <is>
          <t>Revision 01. Adding new stair, and structural revisionsProposal for a second floor addition for (4) residential units and interior alterations to existing second floor to convert vacant space to (3) residential units (Total of 7 Dwelling units).</t>
        </is>
      </c>
      <c r="R278" s="61" t="inlineStr">
        <is>
          <t>Map</t>
        </is>
      </c>
      <c r="S278" s="61" t="inlineStr">
        <is>
          <t>Raw data</t>
        </is>
      </c>
    </row>
    <row r="279" ht="29" customHeight="1">
      <c r="A279" s="59" t="inlineStr">
        <is>
          <t>65 Bristol Ave</t>
        </is>
      </c>
      <c r="B279" s="60" t="n">
        <v>166</v>
      </c>
      <c r="C279" s="59" t="inlineStr">
        <is>
          <t>1381 Dufferin St</t>
        </is>
      </c>
      <c r="D279" s="59" t="inlineStr">
        <is>
          <t>26 163120</t>
        </is>
      </c>
      <c r="E279" s="61" t="inlineStr">
        <is>
          <t>Check permit status</t>
        </is>
      </c>
      <c r="F279" s="59" t="inlineStr">
        <is>
          <t>Addition or alteration</t>
        </is>
      </c>
      <c r="G279" s="59" t="inlineStr">
        <is>
          <t>Building Additions/Alterations; Plumbing(PS); Mechanical(MS)</t>
        </is>
      </c>
      <c r="H279" s="59" t="inlineStr">
        <is>
          <t>Restaurant 30 Seats or Less</t>
        </is>
      </c>
      <c r="I279" s="59" t="inlineStr">
        <is>
          <t>examiner's notice sent</t>
        </is>
      </c>
      <c r="J279" s="63" t="n">
        <v>46192</v>
      </c>
      <c r="K279" s="63" t="n">
        <v>46191</v>
      </c>
      <c r="L279" s="63" t="n"/>
      <c r="M279" s="70" t="n">
        <v>150000</v>
      </c>
      <c r="N279" s="59" t="n"/>
      <c r="O279" s="64" t="n"/>
      <c r="P279" s="59" t="n"/>
      <c r="Q279" s="65" t="inlineStr">
        <is>
          <t>Revision 1: Patio Addition - Proposal for interior alterations to proposed restaurant less than 30 seats.</t>
        </is>
      </c>
      <c r="R279" s="61" t="inlineStr">
        <is>
          <t>Map</t>
        </is>
      </c>
      <c r="S279" s="61" t="inlineStr">
        <is>
          <t>Raw data</t>
        </is>
      </c>
    </row>
    <row r="280" ht="68" customHeight="1">
      <c r="A280" s="59" t="inlineStr">
        <is>
          <t>65 Bristol Ave</t>
        </is>
      </c>
      <c r="B280" s="60" t="n">
        <v>167</v>
      </c>
      <c r="C280" s="59" t="inlineStr">
        <is>
          <t>1446 Dufferin St</t>
        </is>
      </c>
      <c r="D280" s="59" t="inlineStr">
        <is>
          <t>24 137631</t>
        </is>
      </c>
      <c r="E280" s="61" t="inlineStr">
        <is>
          <t>Check permit status</t>
        </is>
      </c>
      <c r="F280" s="59" t="inlineStr">
        <is>
          <t>Addition or alteration</t>
        </is>
      </c>
      <c r="G280" s="59" t="inlineStr">
        <is>
          <t>Mechanical(MS); Plumbing(PS); Small Residential Projects</t>
        </is>
      </c>
      <c r="H280" s="59" t="inlineStr">
        <is>
          <t>3+ Unit - Detached</t>
        </is>
      </c>
      <c r="I280" s="59" t="inlineStr">
        <is>
          <t>under inspection</t>
        </is>
      </c>
      <c r="J280" s="63" t="n">
        <v>45400</v>
      </c>
      <c r="K280" s="63" t="n">
        <v>45506</v>
      </c>
      <c r="L280" s="63" t="n"/>
      <c r="M280" s="70" t="n">
        <v>50000</v>
      </c>
      <c r="N280" s="59" t="n"/>
      <c r="O280" s="64" t="n">
        <v>2</v>
      </c>
      <c r="P280" s="59" t="n"/>
      <c r="Q280" s="65" t="inlineStr">
        <is>
          <t>Rev 02 - To convert the existing basement space to a new unit as 5th unit.Revision 1: Interior 5/8" type x drywall to rear wall to comply with code for the laneway suite.Proposal for a rear 2nd floor addition and interior alterations to convert existing mixed use building to a 4 unit residential building.</t>
        </is>
      </c>
      <c r="R280" s="61" t="inlineStr">
        <is>
          <t>Map</t>
        </is>
      </c>
      <c r="S280" s="61" t="inlineStr">
        <is>
          <t>Raw data</t>
        </is>
      </c>
    </row>
    <row r="281" ht="29" customHeight="1">
      <c r="A281" s="59" t="inlineStr">
        <is>
          <t>65 Bristol Ave</t>
        </is>
      </c>
      <c r="B281" s="60" t="n">
        <v>167</v>
      </c>
      <c r="C281" s="59" t="inlineStr">
        <is>
          <t>1446 Dufferin St</t>
        </is>
      </c>
      <c r="D281" s="59" t="inlineStr">
        <is>
          <t>25 134625</t>
        </is>
      </c>
      <c r="E281" s="61" t="inlineStr">
        <is>
          <t>Check permit status</t>
        </is>
      </c>
      <c r="F281" s="59" t="inlineStr">
        <is>
          <t>Addition or alteration</t>
        </is>
      </c>
      <c r="G281" s="59" t="inlineStr">
        <is>
          <t>Small Residential Projects</t>
        </is>
      </c>
      <c r="H281" s="59" t="inlineStr">
        <is>
          <t>3+ Unit - Detached</t>
        </is>
      </c>
      <c r="I281" s="59" t="inlineStr">
        <is>
          <t>issued</t>
        </is>
      </c>
      <c r="J281" s="63" t="n">
        <v>45741</v>
      </c>
      <c r="K281" s="63" t="n">
        <v>45789</v>
      </c>
      <c r="L281" s="63" t="n"/>
      <c r="M281" s="70" t="n"/>
      <c r="N281" s="59" t="inlineStr">
        <is>
          <t>Unreliable (zero or out of band)</t>
        </is>
      </c>
      <c r="O281" s="64" t="n"/>
      <c r="P281" s="59" t="n"/>
      <c r="Q281" s="65" t="inlineStr">
        <is>
          <t>Proposal for administration proposed party wall for proposed laneway suite for 1444 Dufferin St - SEE #25 134500 SR</t>
        </is>
      </c>
      <c r="R281" s="61" t="inlineStr">
        <is>
          <t>Map</t>
        </is>
      </c>
      <c r="S281" s="61" t="inlineStr">
        <is>
          <t>Raw data</t>
        </is>
      </c>
    </row>
    <row r="282" ht="68" customHeight="1">
      <c r="A282" s="59" t="inlineStr">
        <is>
          <t>65 Bristol Ave</t>
        </is>
      </c>
      <c r="B282" s="60" t="n">
        <v>167</v>
      </c>
      <c r="C282" s="59" t="inlineStr">
        <is>
          <t>1446 Dufferin St</t>
        </is>
      </c>
      <c r="D282" s="59" t="inlineStr">
        <is>
          <t>26 105133</t>
        </is>
      </c>
      <c r="E282" s="61" t="inlineStr">
        <is>
          <t>Check permit status</t>
        </is>
      </c>
      <c r="F282" s="59" t="inlineStr">
        <is>
          <t>Addition or alteration</t>
        </is>
      </c>
      <c r="G282" s="59" t="inlineStr">
        <is>
          <t>Mechanical(MS); Small Residential Projects; Drain and Site Service; Plumbing(PS)</t>
        </is>
      </c>
      <c r="H282" s="59" t="inlineStr">
        <is>
          <t>Laneway / Rear Yard Suite</t>
        </is>
      </c>
      <c r="I282" s="59" t="inlineStr">
        <is>
          <t>under inspection</t>
        </is>
      </c>
      <c r="J282" s="63" t="n">
        <v>46037</v>
      </c>
      <c r="K282" s="63" t="n">
        <v>46122</v>
      </c>
      <c r="L282" s="63" t="n"/>
      <c r="M282" s="70" t="n">
        <v>100000</v>
      </c>
      <c r="N282" s="59" t="n"/>
      <c r="O282" s="64" t="n">
        <v>1</v>
      </c>
      <c r="P282" s="59" t="n"/>
      <c r="Q282" s="65" t="inlineStr">
        <is>
          <t>Plumbing - To alter the existing one-storey semi-detached ancillary building (abutting the laneway) by constructing a complete second storey addition. This ancillary building will contain a one-car garage on the ground level, and one laneway suite on the second level, with a front balcony.</t>
        </is>
      </c>
      <c r="R282" s="61" t="inlineStr">
        <is>
          <t>Map</t>
        </is>
      </c>
      <c r="S282" s="61" t="inlineStr">
        <is>
          <t>Raw data</t>
        </is>
      </c>
    </row>
    <row r="283" ht="29" customHeight="1">
      <c r="A283" s="59" t="inlineStr">
        <is>
          <t>65 Bristol Ave</t>
        </is>
      </c>
      <c r="B283" s="60" t="n">
        <v>168</v>
      </c>
      <c r="C283" s="59" t="inlineStr">
        <is>
          <t>1444 Dufferin St</t>
        </is>
      </c>
      <c r="D283" s="59" t="inlineStr">
        <is>
          <t>21 189503</t>
        </is>
      </c>
      <c r="E283" s="61" t="inlineStr">
        <is>
          <t>Building records request</t>
        </is>
      </c>
      <c r="F283" s="59" t="inlineStr">
        <is>
          <t>Addition or alteration</t>
        </is>
      </c>
      <c r="G283" s="59" t="inlineStr">
        <is>
          <t>Small Residential Projects</t>
        </is>
      </c>
      <c r="H283" s="59" t="inlineStr">
        <is>
          <t>SFD - Semi-Detached</t>
        </is>
      </c>
      <c r="I283" s="59" t="inlineStr">
        <is>
          <t>closed</t>
        </is>
      </c>
      <c r="J283" s="63" t="n">
        <v>44403</v>
      </c>
      <c r="K283" s="63" t="n">
        <v>44412</v>
      </c>
      <c r="L283" s="63" t="n">
        <v>46120</v>
      </c>
      <c r="M283" s="70" t="n">
        <v>20000</v>
      </c>
      <c r="N283" s="59" t="n"/>
      <c r="O283" s="64" t="n"/>
      <c r="P283" s="59" t="n"/>
      <c r="Q283" s="65" t="inlineStr">
        <is>
          <t>Proposal to demolish the existing garage at the rear due to fire damage</t>
        </is>
      </c>
      <c r="R283" s="61" t="inlineStr">
        <is>
          <t>Map</t>
        </is>
      </c>
      <c r="S283" s="61" t="inlineStr">
        <is>
          <t>Raw data</t>
        </is>
      </c>
    </row>
    <row r="284" ht="29" customHeight="1">
      <c r="A284" s="59" t="inlineStr">
        <is>
          <t>65 Bristol Ave</t>
        </is>
      </c>
      <c r="B284" s="60" t="n">
        <v>168</v>
      </c>
      <c r="C284" s="59" t="inlineStr">
        <is>
          <t>129 Bristol Ave</t>
        </is>
      </c>
      <c r="D284" s="59" t="inlineStr">
        <is>
          <t>23 137564</t>
        </is>
      </c>
      <c r="E284" s="61" t="inlineStr">
        <is>
          <t>Building records request</t>
        </is>
      </c>
      <c r="F284" s="59" t="inlineStr">
        <is>
          <t>Addition or alteration</t>
        </is>
      </c>
      <c r="G284" s="59" t="inlineStr">
        <is>
          <t>Small Residential Projects</t>
        </is>
      </c>
      <c r="H284" s="59" t="inlineStr">
        <is>
          <t>SFD - Semi-Detached</t>
        </is>
      </c>
      <c r="I284" s="59" t="inlineStr">
        <is>
          <t>cancelled</t>
        </is>
      </c>
      <c r="J284" s="63" t="n">
        <v>45040</v>
      </c>
      <c r="K284" s="63" t="n"/>
      <c r="L284" s="63" t="n">
        <v>45058</v>
      </c>
      <c r="M284" s="70" t="n">
        <v>7500</v>
      </c>
      <c r="N284" s="59" t="n"/>
      <c r="O284" s="64" t="n"/>
      <c r="P284" s="59" t="n"/>
      <c r="Q284" s="65" t="inlineStr">
        <is>
          <t>Fix the damaged post, by adding a new foundation and replacing the exisiting damaged supporting post with a new supporting post</t>
        </is>
      </c>
      <c r="R284" s="61" t="inlineStr">
        <is>
          <t>Map</t>
        </is>
      </c>
      <c r="S284" s="61" t="inlineStr">
        <is>
          <t>Raw data</t>
        </is>
      </c>
    </row>
    <row r="285" ht="29" customHeight="1">
      <c r="A285" s="59" t="inlineStr">
        <is>
          <t>65 Bristol Ave</t>
        </is>
      </c>
      <c r="B285" s="60" t="n">
        <v>168</v>
      </c>
      <c r="C285" s="59" t="inlineStr">
        <is>
          <t>1444 Dufferin St</t>
        </is>
      </c>
      <c r="D285" s="59" t="inlineStr">
        <is>
          <t>23 137567</t>
        </is>
      </c>
      <c r="E285" s="61" t="inlineStr">
        <is>
          <t>Building records request</t>
        </is>
      </c>
      <c r="F285" s="59" t="inlineStr">
        <is>
          <t>Addition or alteration</t>
        </is>
      </c>
      <c r="G285" s="59" t="inlineStr">
        <is>
          <t>Small Residential Projects</t>
        </is>
      </c>
      <c r="H285" s="59" t="inlineStr">
        <is>
          <t>SFD - Detached</t>
        </is>
      </c>
      <c r="I285" s="59" t="inlineStr">
        <is>
          <t>closed</t>
        </is>
      </c>
      <c r="J285" s="63" t="n">
        <v>45040</v>
      </c>
      <c r="K285" s="63" t="n">
        <v>45055</v>
      </c>
      <c r="L285" s="63" t="n">
        <v>46120</v>
      </c>
      <c r="M285" s="70" t="n">
        <v>40000</v>
      </c>
      <c r="N285" s="59" t="n"/>
      <c r="O285" s="64" t="n"/>
      <c r="P285" s="59" t="n"/>
      <c r="Q285" s="65" t="inlineStr">
        <is>
          <t>Fire damaged garage - Restoration of the garage structure - refer to drawings</t>
        </is>
      </c>
      <c r="R285" s="61" t="inlineStr">
        <is>
          <t>Map</t>
        </is>
      </c>
      <c r="S285" s="61" t="inlineStr">
        <is>
          <t>Raw data</t>
        </is>
      </c>
    </row>
    <row r="286" ht="29" customHeight="1">
      <c r="A286" s="59" t="inlineStr">
        <is>
          <t>65 Bristol Ave</t>
        </is>
      </c>
      <c r="B286" s="60" t="n">
        <v>168</v>
      </c>
      <c r="C286" s="59" t="inlineStr">
        <is>
          <t>129 Bristol Ave</t>
        </is>
      </c>
      <c r="D286" s="59" t="inlineStr">
        <is>
          <t>24 164485</t>
        </is>
      </c>
      <c r="E286" s="61" t="inlineStr">
        <is>
          <t>Building records request</t>
        </is>
      </c>
      <c r="F286" s="59" t="inlineStr">
        <is>
          <t>Addition or alteration</t>
        </is>
      </c>
      <c r="G286" s="59" t="inlineStr">
        <is>
          <t>Small Residential Projects</t>
        </is>
      </c>
      <c r="H286" s="59" t="inlineStr">
        <is>
          <t>SFD - Semi-Detached</t>
        </is>
      </c>
      <c r="I286" s="59" t="inlineStr">
        <is>
          <t>cancelled</t>
        </is>
      </c>
      <c r="J286" s="63" t="n">
        <v>45456</v>
      </c>
      <c r="K286" s="63" t="n"/>
      <c r="L286" s="63" t="n">
        <v>45457</v>
      </c>
      <c r="M286" s="70" t="n">
        <v>7500</v>
      </c>
      <c r="N286" s="59" t="n"/>
      <c r="O286" s="64" t="n"/>
      <c r="P286" s="59" t="n"/>
      <c r="Q286" s="65" t="inlineStr">
        <is>
          <t>Fix the damaged post, by adding a new foundation and replacing the exisiting damaged supporting post with a new supporting post</t>
        </is>
      </c>
      <c r="R286" s="61" t="inlineStr">
        <is>
          <t>Map</t>
        </is>
      </c>
      <c r="S286" s="61" t="inlineStr">
        <is>
          <t>Raw data</t>
        </is>
      </c>
    </row>
    <row r="287" ht="16" customHeight="1">
      <c r="A287" s="59" t="inlineStr">
        <is>
          <t>65 Bristol Ave</t>
        </is>
      </c>
      <c r="B287" s="60" t="n">
        <v>168</v>
      </c>
      <c r="C287" s="59" t="inlineStr">
        <is>
          <t>129 Bristol Ave</t>
        </is>
      </c>
      <c r="D287" s="59" t="inlineStr">
        <is>
          <t>24 175516</t>
        </is>
      </c>
      <c r="E287" s="61" t="inlineStr">
        <is>
          <t>Check permit status</t>
        </is>
      </c>
      <c r="F287" s="59" t="inlineStr">
        <is>
          <t>Addition or alteration</t>
        </is>
      </c>
      <c r="G287" s="59" t="inlineStr">
        <is>
          <t>Small Residential Projects</t>
        </is>
      </c>
      <c r="H287" s="59" t="inlineStr">
        <is>
          <t>SFD - Townhouse</t>
        </is>
      </c>
      <c r="I287" s="59" t="inlineStr">
        <is>
          <t>under inspection</t>
        </is>
      </c>
      <c r="J287" s="63" t="n">
        <v>45478</v>
      </c>
      <c r="K287" s="63" t="n">
        <v>45489</v>
      </c>
      <c r="L287" s="63" t="n"/>
      <c r="M287" s="70" t="n">
        <v>5000</v>
      </c>
      <c r="N287" s="59" t="n"/>
      <c r="O287" s="64" t="n"/>
      <c r="P287" s="59" t="n"/>
      <c r="Q287" s="65" t="inlineStr">
        <is>
          <t>Fix the damaged post at front porch between both properties.</t>
        </is>
      </c>
      <c r="R287" s="61" t="inlineStr">
        <is>
          <t>Map</t>
        </is>
      </c>
      <c r="S287" s="61" t="inlineStr">
        <is>
          <t>Raw data</t>
        </is>
      </c>
    </row>
    <row r="288" ht="16" customHeight="1">
      <c r="A288" s="59" t="inlineStr">
        <is>
          <t>65 Bristol Ave</t>
        </is>
      </c>
      <c r="B288" s="60" t="n">
        <v>168</v>
      </c>
      <c r="C288" s="59" t="inlineStr">
        <is>
          <t>1444 Dufferin St</t>
        </is>
      </c>
      <c r="D288" s="59" t="inlineStr">
        <is>
          <t>25 134500</t>
        </is>
      </c>
      <c r="E288" s="61" t="inlineStr">
        <is>
          <t>Check permit status</t>
        </is>
      </c>
      <c r="F288" s="59" t="inlineStr">
        <is>
          <t>Addition or alteration</t>
        </is>
      </c>
      <c r="G288" s="59" t="inlineStr">
        <is>
          <t>Small Residential Projects; Drain and Site Service; Mechanical(MS); Plumbing(PS)</t>
        </is>
      </c>
      <c r="H288" s="59" t="inlineStr">
        <is>
          <t>Laneway / Rear Yard Suite</t>
        </is>
      </c>
      <c r="I288" s="59" t="inlineStr">
        <is>
          <t>under inspection</t>
        </is>
      </c>
      <c r="J288" s="63" t="n">
        <v>45741</v>
      </c>
      <c r="K288" s="63" t="n">
        <v>45807</v>
      </c>
      <c r="L288" s="63" t="n"/>
      <c r="M288" s="70" t="n">
        <v>10000</v>
      </c>
      <c r="N288" s="59" t="n"/>
      <c r="O288" s="64" t="n">
        <v>1</v>
      </c>
      <c r="P288" s="59" t="n"/>
      <c r="Q288" s="65" t="inlineStr">
        <is>
          <t>Plumbing - Proposed 2 storey laneway suite</t>
        </is>
      </c>
      <c r="R288" s="61" t="inlineStr">
        <is>
          <t>Map</t>
        </is>
      </c>
      <c r="S288" s="61" t="inlineStr">
        <is>
          <t>Raw data</t>
        </is>
      </c>
    </row>
    <row r="289" ht="29" customHeight="1">
      <c r="A289" s="59" t="inlineStr">
        <is>
          <t>65 Bristol Ave</t>
        </is>
      </c>
      <c r="B289" s="60" t="n">
        <v>168</v>
      </c>
      <c r="C289" s="59" t="inlineStr">
        <is>
          <t>1444 Dufferin St</t>
        </is>
      </c>
      <c r="D289" s="59" t="inlineStr">
        <is>
          <t>97 020666</t>
        </is>
      </c>
      <c r="E289" s="61" t="inlineStr">
        <is>
          <t>Building records request</t>
        </is>
      </c>
      <c r="F289" s="59" t="inlineStr">
        <is>
          <t>Other</t>
        </is>
      </c>
      <c r="G289" s="59" t="inlineStr">
        <is>
          <t>Plumbing(PS)</t>
        </is>
      </c>
      <c r="H289" s="59" t="inlineStr">
        <is>
          <t>Unknown</t>
        </is>
      </c>
      <c r="I289" s="59" t="inlineStr">
        <is>
          <t>closed - dormant</t>
        </is>
      </c>
      <c r="J289" s="63" t="n">
        <v>35663</v>
      </c>
      <c r="K289" s="63" t="n">
        <v>35663</v>
      </c>
      <c r="L289" s="63" t="n">
        <v>46181</v>
      </c>
      <c r="M289" s="70" t="n">
        <v>2000</v>
      </c>
      <c r="N289" s="59" t="n"/>
      <c r="O289" s="64" t="n"/>
      <c r="P289" s="59" t="n"/>
      <c r="Q289" s="65" t="inlineStr">
        <is>
          <t>INSTALL FIXTURES 2ND FLOOR 1 K.S., 1 W.B., 1 W.C., 1 B.T. IN EXISTING DWELLING UNIT SS</t>
        </is>
      </c>
      <c r="R289" s="61" t="inlineStr">
        <is>
          <t>Map</t>
        </is>
      </c>
      <c r="S289" s="61" t="inlineStr">
        <is>
          <t>Raw data</t>
        </is>
      </c>
    </row>
    <row r="290" ht="16" customHeight="1">
      <c r="A290" s="59" t="inlineStr">
        <is>
          <t>65 Bristol Ave</t>
        </is>
      </c>
      <c r="B290" s="60" t="n">
        <v>169</v>
      </c>
      <c r="C290" s="59" t="inlineStr">
        <is>
          <t>438 Salem Ave N</t>
        </is>
      </c>
      <c r="D290" s="59" t="inlineStr">
        <is>
          <t>22 116702</t>
        </is>
      </c>
      <c r="E290" s="61" t="inlineStr">
        <is>
          <t>Check permit status</t>
        </is>
      </c>
      <c r="F290" s="59" t="inlineStr">
        <is>
          <t>Addition or alteration</t>
        </is>
      </c>
      <c r="G290" s="59" t="inlineStr">
        <is>
          <t>Small Residential Projects; Plumbing(PS); Drain and Site Service</t>
        </is>
      </c>
      <c r="H290" s="59" t="inlineStr">
        <is>
          <t>SFD - Semi-Detached</t>
        </is>
      </c>
      <c r="I290" s="59" t="inlineStr">
        <is>
          <t>issued</t>
        </is>
      </c>
      <c r="J290" s="63" t="n">
        <v>44615</v>
      </c>
      <c r="K290" s="63" t="n">
        <v>44627</v>
      </c>
      <c r="L290" s="63" t="n"/>
      <c r="M290" s="70" t="n">
        <v>20000</v>
      </c>
      <c r="N290" s="59" t="n"/>
      <c r="O290" s="64" t="n"/>
      <c r="P290" s="59" t="n"/>
      <c r="Q290" s="65" t="inlineStr">
        <is>
          <t>Plumbing - basement underpinning</t>
        </is>
      </c>
      <c r="R290" s="61" t="inlineStr">
        <is>
          <t>Map</t>
        </is>
      </c>
      <c r="S290" s="61" t="inlineStr">
        <is>
          <t>Raw data</t>
        </is>
      </c>
    </row>
    <row r="291" ht="42" customHeight="1">
      <c r="A291" s="59" t="inlineStr">
        <is>
          <t>65 Bristol Ave</t>
        </is>
      </c>
      <c r="B291" s="60" t="n">
        <v>170</v>
      </c>
      <c r="C291" s="59" t="inlineStr">
        <is>
          <t>434 Salem Ave N</t>
        </is>
      </c>
      <c r="D291" s="59" t="inlineStr">
        <is>
          <t>09 103100</t>
        </is>
      </c>
      <c r="E291" s="61" t="inlineStr">
        <is>
          <t>Building records request</t>
        </is>
      </c>
      <c r="F291" s="59" t="inlineStr">
        <is>
          <t>Addition or alteration</t>
        </is>
      </c>
      <c r="G291" s="59" t="inlineStr">
        <is>
          <t>Building Additions/Alterations</t>
        </is>
      </c>
      <c r="H291" s="59" t="inlineStr">
        <is>
          <t>Apartment Building</t>
        </is>
      </c>
      <c r="I291" s="59" t="inlineStr">
        <is>
          <t>under inspection</t>
        </is>
      </c>
      <c r="J291" s="63" t="n">
        <v>39829</v>
      </c>
      <c r="K291" s="63" t="n">
        <v>40991</v>
      </c>
      <c r="L291" s="63" t="n"/>
      <c r="M291" s="70" t="n">
        <v>50000</v>
      </c>
      <c r="N291" s="59" t="n"/>
      <c r="O291" s="64" t="n"/>
      <c r="P291" s="59" t="n"/>
      <c r="Q291" s="65" t="inlineStr">
        <is>
          <t>Construction of new exterior front stairs leading to the basement units and above-grade units in an existing 6-unit residential building. The original stairs are to be demolished.</t>
        </is>
      </c>
      <c r="R291" s="61" t="inlineStr">
        <is>
          <t>Map</t>
        </is>
      </c>
      <c r="S291" s="61" t="inlineStr">
        <is>
          <t>Raw data</t>
        </is>
      </c>
    </row>
    <row r="292" ht="55" customHeight="1">
      <c r="A292" s="59" t="inlineStr">
        <is>
          <t>65 Bristol Ave</t>
        </is>
      </c>
      <c r="B292" s="60" t="n">
        <v>170</v>
      </c>
      <c r="C292" s="59" t="inlineStr">
        <is>
          <t>414 Bartlett Ave N</t>
        </is>
      </c>
      <c r="D292" s="59" t="inlineStr">
        <is>
          <t>15 151328</t>
        </is>
      </c>
      <c r="E292" s="61" t="inlineStr">
        <is>
          <t>Building records request</t>
        </is>
      </c>
      <c r="F292" s="59" t="inlineStr">
        <is>
          <t>Addition or alteration</t>
        </is>
      </c>
      <c r="G292" s="59" t="inlineStr">
        <is>
          <t>Mechanical(MS); Plumbing(PS); Small Residential Projects; Drain and Site Service</t>
        </is>
      </c>
      <c r="H292" s="59" t="inlineStr">
        <is>
          <t>3+ Unit - Detached; Converted House</t>
        </is>
      </c>
      <c r="I292" s="59" t="inlineStr">
        <is>
          <t>closed</t>
        </is>
      </c>
      <c r="J292" s="63" t="n">
        <v>42262</v>
      </c>
      <c r="K292" s="63" t="n">
        <v>42296</v>
      </c>
      <c r="L292" s="63" t="n">
        <v>43676</v>
      </c>
      <c r="M292" s="70" t="n">
        <v>400000</v>
      </c>
      <c r="N292" s="59" t="n"/>
      <c r="O292" s="64" t="n"/>
      <c r="P292" s="59" t="n"/>
      <c r="Q292" s="65" t="inlineStr">
        <is>
          <t>Plumbing - Proposal to construct 3 storey rear addition and interior alteration to convert existing single family dwelling into 3 dwelling units. New front basement walktout. New rear balconies. Partial underpinning and new face brick</t>
        </is>
      </c>
      <c r="R292" s="61" t="inlineStr">
        <is>
          <t>Map</t>
        </is>
      </c>
      <c r="S292" s="61" t="inlineStr">
        <is>
          <t>Raw data</t>
        </is>
      </c>
    </row>
    <row r="293" ht="16" customHeight="1">
      <c r="A293" s="59" t="inlineStr">
        <is>
          <t>65 Bristol Ave</t>
        </is>
      </c>
      <c r="B293" s="60" t="n">
        <v>170</v>
      </c>
      <c r="C293" s="59" t="inlineStr">
        <is>
          <t>436 Salem Ave N</t>
        </is>
      </c>
      <c r="D293" s="59" t="inlineStr">
        <is>
          <t>22 116693</t>
        </is>
      </c>
      <c r="E293" s="61" t="inlineStr">
        <is>
          <t>Check permit status</t>
        </is>
      </c>
      <c r="F293" s="59" t="inlineStr">
        <is>
          <t>Addition or alteration</t>
        </is>
      </c>
      <c r="G293" s="59" t="inlineStr">
        <is>
          <t>Small Residential Projects</t>
        </is>
      </c>
      <c r="H293" s="59" t="inlineStr">
        <is>
          <t>SFD - Semi-Detached</t>
        </is>
      </c>
      <c r="I293" s="59" t="inlineStr">
        <is>
          <t>issued</t>
        </is>
      </c>
      <c r="J293" s="63" t="n">
        <v>44615</v>
      </c>
      <c r="K293" s="63" t="n">
        <v>44627</v>
      </c>
      <c r="L293" s="63" t="n"/>
      <c r="M293" s="70" t="n">
        <v>20000</v>
      </c>
      <c r="N293" s="59" t="n"/>
      <c r="O293" s="64" t="n"/>
      <c r="P293" s="59" t="n"/>
      <c r="Q293" s="65" t="inlineStr">
        <is>
          <t>administrative permit to underpin shared party wall</t>
        </is>
      </c>
      <c r="R293" s="61" t="inlineStr">
        <is>
          <t>Map</t>
        </is>
      </c>
      <c r="S293" s="61" t="inlineStr">
        <is>
          <t>Raw data</t>
        </is>
      </c>
    </row>
    <row r="294" ht="42" customHeight="1">
      <c r="A294" s="59" t="inlineStr">
        <is>
          <t>65 Bristol Ave</t>
        </is>
      </c>
      <c r="B294" s="60" t="n">
        <v>171</v>
      </c>
      <c r="C294" s="59" t="inlineStr">
        <is>
          <t>1377 Dufferin St</t>
        </is>
      </c>
      <c r="D294" s="59" t="inlineStr">
        <is>
          <t>15 211643</t>
        </is>
      </c>
      <c r="E294" s="61" t="inlineStr">
        <is>
          <t>Building records request</t>
        </is>
      </c>
      <c r="F294" s="59" t="inlineStr">
        <is>
          <t>Addition or alteration</t>
        </is>
      </c>
      <c r="G294" s="59" t="inlineStr">
        <is>
          <t>Conditional Permit; Mechanical(MS); Plumbing(PS)</t>
        </is>
      </c>
      <c r="H294" s="59" t="inlineStr">
        <is>
          <t>Multiple Unit Building</t>
        </is>
      </c>
      <c r="I294" s="59" t="inlineStr">
        <is>
          <t>closed</t>
        </is>
      </c>
      <c r="J294" s="63" t="n">
        <v>43398</v>
      </c>
      <c r="K294" s="63" t="n">
        <v>43404</v>
      </c>
      <c r="L294" s="63" t="n">
        <v>43914</v>
      </c>
      <c r="M294" s="70" t="n"/>
      <c r="N294" s="59" t="inlineStr">
        <is>
          <t>Not declared</t>
        </is>
      </c>
      <c r="O294" s="64" t="n"/>
      <c r="P294" s="59" t="n"/>
      <c r="Q294" s="65" t="inlineStr">
        <is>
          <t>Conditional Permit - Proposal for interior alterations to existing 2nd floor to add 8 residential units (Office and hair salon on ground floor).</t>
        </is>
      </c>
      <c r="R294" s="61" t="inlineStr">
        <is>
          <t>Map</t>
        </is>
      </c>
      <c r="S294" s="61" t="inlineStr">
        <is>
          <t>Raw data</t>
        </is>
      </c>
    </row>
    <row r="295" ht="16" customHeight="1">
      <c r="A295" s="59" t="inlineStr">
        <is>
          <t>65 Bristol Ave</t>
        </is>
      </c>
      <c r="B295" s="60" t="n">
        <v>171</v>
      </c>
      <c r="C295" s="59" t="inlineStr">
        <is>
          <t>1377 Dufferin St</t>
        </is>
      </c>
      <c r="D295" s="59" t="inlineStr">
        <is>
          <t>15 230873</t>
        </is>
      </c>
      <c r="E295" s="61" t="inlineStr">
        <is>
          <t>Building records request</t>
        </is>
      </c>
      <c r="F295" s="59" t="inlineStr">
        <is>
          <t>Other</t>
        </is>
      </c>
      <c r="G295" s="59" t="inlineStr">
        <is>
          <t>Plumbing(PS)</t>
        </is>
      </c>
      <c r="H295" s="59" t="inlineStr">
        <is>
          <t>Multiple Use/Non Residential</t>
        </is>
      </c>
      <c r="I295" s="59" t="inlineStr">
        <is>
          <t>closed</t>
        </is>
      </c>
      <c r="J295" s="63" t="n">
        <v>42277</v>
      </c>
      <c r="K295" s="63" t="n">
        <v>42279</v>
      </c>
      <c r="L295" s="63" t="n">
        <v>43941</v>
      </c>
      <c r="M295" s="70" t="n">
        <v>2000</v>
      </c>
      <c r="N295" s="59" t="n"/>
      <c r="O295" s="64" t="n"/>
      <c r="P295" s="59" t="n"/>
      <c r="Q295" s="65" t="inlineStr">
        <is>
          <t>Backflow Prevention Devices (Water only)</t>
        </is>
      </c>
      <c r="R295" s="61" t="inlineStr">
        <is>
          <t>Map</t>
        </is>
      </c>
      <c r="S295" s="61" t="inlineStr">
        <is>
          <t>Raw data</t>
        </is>
      </c>
    </row>
    <row r="296" ht="16" customHeight="1">
      <c r="A296" s="59" t="inlineStr">
        <is>
          <t>65 Bristol Ave</t>
        </is>
      </c>
      <c r="B296" s="60" t="n">
        <v>171</v>
      </c>
      <c r="C296" s="59" t="inlineStr">
        <is>
          <t>1377 Dufferin St</t>
        </is>
      </c>
      <c r="D296" s="59" t="inlineStr">
        <is>
          <t>17 150692</t>
        </is>
      </c>
      <c r="E296" s="61" t="inlineStr">
        <is>
          <t>Building records request</t>
        </is>
      </c>
      <c r="F296" s="59" t="inlineStr">
        <is>
          <t>Addition or alteration</t>
        </is>
      </c>
      <c r="G296" s="59" t="inlineStr">
        <is>
          <t>Building Additions/Alterations</t>
        </is>
      </c>
      <c r="H296" s="59" t="inlineStr">
        <is>
          <t>Retail Store</t>
        </is>
      </c>
      <c r="I296" s="59" t="inlineStr">
        <is>
          <t>closed</t>
        </is>
      </c>
      <c r="J296" s="63" t="n">
        <v>42852</v>
      </c>
      <c r="K296" s="63" t="n">
        <v>42888</v>
      </c>
      <c r="L296" s="63" t="n">
        <v>43930</v>
      </c>
      <c r="M296" s="70" t="n">
        <v>70000</v>
      </c>
      <c r="N296" s="59" t="n"/>
      <c r="O296" s="64" t="n"/>
      <c r="P296" s="59" t="n"/>
      <c r="Q296" s="65" t="inlineStr">
        <is>
          <t>Construct partial foundation wall underpinning (50 lm)</t>
        </is>
      </c>
      <c r="R296" s="61" t="inlineStr">
        <is>
          <t>Map</t>
        </is>
      </c>
      <c r="S296" s="61" t="inlineStr">
        <is>
          <t>Raw data</t>
        </is>
      </c>
    </row>
    <row r="297" ht="16" customHeight="1">
      <c r="A297" s="59" t="inlineStr">
        <is>
          <t>65 Bristol Ave</t>
        </is>
      </c>
      <c r="B297" s="60" t="n">
        <v>172</v>
      </c>
      <c r="C297" s="59" t="inlineStr">
        <is>
          <t>478 Salem Ave N</t>
        </is>
      </c>
      <c r="D297" s="59" t="inlineStr">
        <is>
          <t>17 228302</t>
        </is>
      </c>
      <c r="E297" s="61" t="inlineStr">
        <is>
          <t>Building records request</t>
        </is>
      </c>
      <c r="F297" s="59" t="inlineStr">
        <is>
          <t>Addition or alteration</t>
        </is>
      </c>
      <c r="G297" s="59" t="inlineStr">
        <is>
          <t>Small Residential Projects</t>
        </is>
      </c>
      <c r="H297" s="59" t="inlineStr">
        <is>
          <t>SFD - Semi-Detached</t>
        </is>
      </c>
      <c r="I297" s="59" t="inlineStr">
        <is>
          <t>closed</t>
        </is>
      </c>
      <c r="J297" s="63" t="n">
        <v>42984</v>
      </c>
      <c r="K297" s="63" t="n">
        <v>42991</v>
      </c>
      <c r="L297" s="63" t="n">
        <v>44264</v>
      </c>
      <c r="M297" s="70" t="n"/>
      <c r="N297" s="59" t="inlineStr">
        <is>
          <t>Unreliable (zero or out of band)</t>
        </is>
      </c>
      <c r="O297" s="64" t="n"/>
      <c r="P297" s="59" t="n"/>
      <c r="Q297" s="65" t="inlineStr">
        <is>
          <t>Proposal for party wall admin permit in relation to 17-228298</t>
        </is>
      </c>
      <c r="R297" s="61" t="inlineStr">
        <is>
          <t>Map</t>
        </is>
      </c>
      <c r="S297" s="61" t="inlineStr">
        <is>
          <t>Raw data</t>
        </is>
      </c>
    </row>
    <row r="298" ht="16" customHeight="1">
      <c r="A298" s="59" t="inlineStr">
        <is>
          <t>65 Bristol Ave</t>
        </is>
      </c>
      <c r="B298" s="60" t="n">
        <v>172</v>
      </c>
      <c r="C298" s="59" t="inlineStr">
        <is>
          <t>131 Bristol Ave</t>
        </is>
      </c>
      <c r="D298" s="59" t="inlineStr">
        <is>
          <t>24 175532</t>
        </is>
      </c>
      <c r="E298" s="61" t="inlineStr">
        <is>
          <t>Check permit status</t>
        </is>
      </c>
      <c r="F298" s="59" t="inlineStr">
        <is>
          <t>Addition or alteration</t>
        </is>
      </c>
      <c r="G298" s="59" t="inlineStr">
        <is>
          <t>Small Residential Projects</t>
        </is>
      </c>
      <c r="H298" s="59" t="inlineStr">
        <is>
          <t>SFD - Townhouse</t>
        </is>
      </c>
      <c r="I298" s="59" t="inlineStr">
        <is>
          <t>issued</t>
        </is>
      </c>
      <c r="J298" s="63" t="n">
        <v>45478</v>
      </c>
      <c r="K298" s="63" t="n">
        <v>45489</v>
      </c>
      <c r="L298" s="63" t="n"/>
      <c r="M298" s="70" t="n"/>
      <c r="N298" s="59" t="inlineStr">
        <is>
          <t>Unreliable (zero or out of band)</t>
        </is>
      </c>
      <c r="O298" s="64" t="n"/>
      <c r="P298" s="59" t="n"/>
      <c r="Q298" s="65" t="inlineStr">
        <is>
          <t>ADMINISTRATIVE PERMIT ONLYRepair to post between 129 and 131 Bristol.</t>
        </is>
      </c>
      <c r="R298" s="61" t="inlineStr">
        <is>
          <t>Map</t>
        </is>
      </c>
      <c r="S298" s="61" t="inlineStr">
        <is>
          <t>Raw data</t>
        </is>
      </c>
    </row>
    <row r="299" ht="16" customHeight="1">
      <c r="A299" s="59" t="inlineStr">
        <is>
          <t>65 Bristol Ave</t>
        </is>
      </c>
      <c r="B299" s="60" t="n">
        <v>172</v>
      </c>
      <c r="C299" s="59" t="inlineStr">
        <is>
          <t>131 Bristol Ave</t>
        </is>
      </c>
      <c r="D299" s="59" t="inlineStr">
        <is>
          <t>26 225244</t>
        </is>
      </c>
      <c r="E299" s="61" t="inlineStr">
        <is>
          <t>Check permit status</t>
        </is>
      </c>
      <c r="F299" s="59" t="inlineStr">
        <is>
          <t>Addition or alteration</t>
        </is>
      </c>
      <c r="G299" s="59" t="inlineStr">
        <is>
          <t>Small Residential Projects</t>
        </is>
      </c>
      <c r="H299" s="59" t="inlineStr">
        <is>
          <t>SFD - Townhouse</t>
        </is>
      </c>
      <c r="I299" s="59" t="inlineStr">
        <is>
          <t>issued</t>
        </is>
      </c>
      <c r="J299" s="63" t="n">
        <v>46259</v>
      </c>
      <c r="K299" s="63" t="n">
        <v>46260</v>
      </c>
      <c r="L299" s="63" t="n"/>
      <c r="M299" s="70" t="n">
        <v>5000</v>
      </c>
      <c r="N299" s="59" t="n"/>
      <c r="O299" s="64" t="n"/>
      <c r="P299" s="59" t="n"/>
      <c r="Q299" s="65" t="inlineStr">
        <is>
          <t>Replace existing porch roof beam</t>
        </is>
      </c>
      <c r="R299" s="61" t="inlineStr">
        <is>
          <t>Map</t>
        </is>
      </c>
      <c r="S299" s="61" t="inlineStr">
        <is>
          <t>Raw data</t>
        </is>
      </c>
    </row>
    <row r="300" ht="29" customHeight="1">
      <c r="A300" s="59" t="inlineStr">
        <is>
          <t>65 Bristol Ave</t>
        </is>
      </c>
      <c r="B300" s="60" t="n">
        <v>174</v>
      </c>
      <c r="C300" s="59" t="inlineStr">
        <is>
          <t>192 Geary Ave</t>
        </is>
      </c>
      <c r="D300" s="59" t="inlineStr">
        <is>
          <t>03 180410</t>
        </is>
      </c>
      <c r="E300" s="61" t="inlineStr">
        <is>
          <t>Building records request</t>
        </is>
      </c>
      <c r="F300" s="59" t="inlineStr">
        <is>
          <t>Other</t>
        </is>
      </c>
      <c r="G300" s="59" t="inlineStr">
        <is>
          <t>Plumbing(PS)</t>
        </is>
      </c>
      <c r="H300" s="59" t="inlineStr">
        <is>
          <t>Warehouse</t>
        </is>
      </c>
      <c r="I300" s="59" t="inlineStr">
        <is>
          <t>under inspection</t>
        </is>
      </c>
      <c r="J300" s="63" t="n">
        <v>38104</v>
      </c>
      <c r="K300" s="63" t="n">
        <v>38104</v>
      </c>
      <c r="L300" s="63" t="n"/>
      <c r="M300" s="70" t="n"/>
      <c r="N300" s="59" t="inlineStr">
        <is>
          <t>Not declared</t>
        </is>
      </c>
      <c r="O300" s="64" t="n"/>
      <c r="P300" s="59" t="n"/>
      <c r="Q300" s="65" t="inlineStr">
        <is>
          <t>Plumbing - Make Interior alterations to existing warehouse. - Interior Alterations</t>
        </is>
      </c>
      <c r="R300" s="61" t="inlineStr">
        <is>
          <t>Map</t>
        </is>
      </c>
      <c r="S300" s="61" t="inlineStr">
        <is>
          <t>Raw data</t>
        </is>
      </c>
    </row>
    <row r="301" ht="16" customHeight="1">
      <c r="A301" s="59" t="inlineStr">
        <is>
          <t>65 Bristol Ave</t>
        </is>
      </c>
      <c r="B301" s="60" t="n">
        <v>174</v>
      </c>
      <c r="C301" s="59" t="inlineStr">
        <is>
          <t>204 Geary Ave</t>
        </is>
      </c>
      <c r="D301" s="59" t="inlineStr">
        <is>
          <t>13 271721</t>
        </is>
      </c>
      <c r="E301" s="61" t="inlineStr">
        <is>
          <t>Building records request</t>
        </is>
      </c>
      <c r="F301" s="59" t="inlineStr">
        <is>
          <t>Addition or alteration</t>
        </is>
      </c>
      <c r="G301" s="59" t="inlineStr">
        <is>
          <t>Small Residential Projects</t>
        </is>
      </c>
      <c r="H301" s="59" t="inlineStr">
        <is>
          <t>SFD - Semi-Detached</t>
        </is>
      </c>
      <c r="I301" s="59" t="inlineStr">
        <is>
          <t>closed</t>
        </is>
      </c>
      <c r="J301" s="63" t="n">
        <v>41606</v>
      </c>
      <c r="K301" s="63" t="n">
        <v>41610</v>
      </c>
      <c r="L301" s="63" t="n">
        <v>45970</v>
      </c>
      <c r="M301" s="70" t="n">
        <v>7000</v>
      </c>
      <c r="N301" s="59" t="n"/>
      <c r="O301" s="64" t="n"/>
      <c r="P301" s="59" t="n"/>
      <c r="Q301" s="65" t="inlineStr">
        <is>
          <t>Replacement of brick cladding at front.</t>
        </is>
      </c>
      <c r="R301" s="61" t="inlineStr">
        <is>
          <t>Map</t>
        </is>
      </c>
      <c r="S301" s="61" t="inlineStr">
        <is>
          <t>Raw data</t>
        </is>
      </c>
    </row>
    <row r="302" ht="16" customHeight="1">
      <c r="A302" s="59" t="inlineStr">
        <is>
          <t>65 Bristol Ave</t>
        </is>
      </c>
      <c r="B302" s="60" t="n">
        <v>174</v>
      </c>
      <c r="C302" s="59" t="inlineStr">
        <is>
          <t>200 Geary Ave</t>
        </is>
      </c>
      <c r="D302" s="59" t="inlineStr">
        <is>
          <t>15 226761</t>
        </is>
      </c>
      <c r="E302" s="61" t="inlineStr">
        <is>
          <t>Building records request</t>
        </is>
      </c>
      <c r="F302" s="59" t="inlineStr">
        <is>
          <t>Other</t>
        </is>
      </c>
      <c r="G302" s="59" t="inlineStr">
        <is>
          <t>Plumbing(PS)</t>
        </is>
      </c>
      <c r="H302" s="59" t="inlineStr">
        <is>
          <t>Other</t>
        </is>
      </c>
      <c r="I302" s="59" t="inlineStr">
        <is>
          <t>issued</t>
        </is>
      </c>
      <c r="J302" s="63" t="n">
        <v>42269</v>
      </c>
      <c r="K302" s="63" t="n">
        <v>42310</v>
      </c>
      <c r="L302" s="63" t="n"/>
      <c r="M302" s="70" t="n"/>
      <c r="N302" s="59" t="inlineStr">
        <is>
          <t>Unreliable (zero or out of band)</t>
        </is>
      </c>
      <c r="O302" s="64" t="n"/>
      <c r="P302" s="59" t="n"/>
      <c r="Q302" s="65" t="inlineStr">
        <is>
          <t>To install a back flow prevention device</t>
        </is>
      </c>
      <c r="R302" s="61" t="inlineStr">
        <is>
          <t>Map</t>
        </is>
      </c>
      <c r="S302" s="61" t="inlineStr">
        <is>
          <t>Raw data</t>
        </is>
      </c>
    </row>
    <row r="303" ht="16" customHeight="1">
      <c r="A303" s="59" t="inlineStr">
        <is>
          <t>65 Bristol Ave</t>
        </is>
      </c>
      <c r="B303" s="60" t="n">
        <v>174</v>
      </c>
      <c r="C303" s="59" t="inlineStr">
        <is>
          <t>192 Geary Ave</t>
        </is>
      </c>
      <c r="D303" s="59" t="inlineStr">
        <is>
          <t>15 226764</t>
        </is>
      </c>
      <c r="E303" s="61" t="inlineStr">
        <is>
          <t>Building records request</t>
        </is>
      </c>
      <c r="F303" s="59" t="inlineStr">
        <is>
          <t>Other</t>
        </is>
      </c>
      <c r="G303" s="59" t="inlineStr">
        <is>
          <t>Plumbing(PS)</t>
        </is>
      </c>
      <c r="H303" s="59" t="inlineStr">
        <is>
          <t>Other</t>
        </is>
      </c>
      <c r="I303" s="59" t="inlineStr">
        <is>
          <t>issued</t>
        </is>
      </c>
      <c r="J303" s="63" t="n">
        <v>42269</v>
      </c>
      <c r="K303" s="63" t="n">
        <v>42310</v>
      </c>
      <c r="L303" s="63" t="n"/>
      <c r="M303" s="70" t="n"/>
      <c r="N303" s="59" t="inlineStr">
        <is>
          <t>Unreliable (zero or out of band)</t>
        </is>
      </c>
      <c r="O303" s="64" t="n"/>
      <c r="P303" s="59" t="n"/>
      <c r="Q303" s="65" t="inlineStr">
        <is>
          <t>To install a back flow prevention device</t>
        </is>
      </c>
      <c r="R303" s="61" t="inlineStr">
        <is>
          <t>Map</t>
        </is>
      </c>
      <c r="S303" s="61" t="inlineStr">
        <is>
          <t>Raw data</t>
        </is>
      </c>
    </row>
    <row r="304" ht="29" customHeight="1">
      <c r="A304" s="59" t="inlineStr">
        <is>
          <t>65 Bristol Ave</t>
        </is>
      </c>
      <c r="B304" s="60" t="n">
        <v>174</v>
      </c>
      <c r="C304" s="59" t="inlineStr">
        <is>
          <t>480 Salem Ave N</t>
        </is>
      </c>
      <c r="D304" s="59" t="inlineStr">
        <is>
          <t>17 228298</t>
        </is>
      </c>
      <c r="E304" s="61" t="inlineStr">
        <is>
          <t>Building records request</t>
        </is>
      </c>
      <c r="F304" s="59" t="inlineStr">
        <is>
          <t>Addition or alteration</t>
        </is>
      </c>
      <c r="G304" s="59" t="inlineStr">
        <is>
          <t>Plumbing(PS); Small Residential Projects; Drain and Site Service</t>
        </is>
      </c>
      <c r="H304" s="59" t="inlineStr">
        <is>
          <t>SFD - Semi-Detached</t>
        </is>
      </c>
      <c r="I304" s="59" t="inlineStr">
        <is>
          <t>closed</t>
        </is>
      </c>
      <c r="J304" s="63" t="n">
        <v>42992</v>
      </c>
      <c r="K304" s="63" t="n">
        <v>42992</v>
      </c>
      <c r="L304" s="63" t="n">
        <v>43818</v>
      </c>
      <c r="M304" s="70" t="n">
        <v>36000</v>
      </c>
      <c r="N304" s="59" t="n"/>
      <c r="O304" s="64" t="n"/>
      <c r="P304" s="59" t="n"/>
      <c r="Q304" s="65" t="inlineStr">
        <is>
          <t>Rev01: Replace existing wood beams and finished basementOrig: Proposal for underpinning to existing single family dwelling</t>
        </is>
      </c>
      <c r="R304" s="61" t="inlineStr">
        <is>
          <t>Map</t>
        </is>
      </c>
      <c r="S304" s="61" t="inlineStr">
        <is>
          <t>Raw data</t>
        </is>
      </c>
    </row>
    <row r="305" ht="29" customHeight="1">
      <c r="A305" s="59" t="inlineStr">
        <is>
          <t>65 Bristol Ave</t>
        </is>
      </c>
      <c r="B305" s="60" t="n">
        <v>175</v>
      </c>
      <c r="C305" s="59" t="inlineStr">
        <is>
          <t>220 Geary Ave</t>
        </is>
      </c>
      <c r="D305" s="59" t="inlineStr">
        <is>
          <t>18 265543</t>
        </is>
      </c>
      <c r="E305" s="61" t="inlineStr">
        <is>
          <t>Building records request</t>
        </is>
      </c>
      <c r="F305" s="59" t="inlineStr">
        <is>
          <t>Addition or alteration</t>
        </is>
      </c>
      <c r="G305" s="59" t="inlineStr">
        <is>
          <t>Building Additions/Alterations; Mechanical(MS); Plumbing(PS)</t>
        </is>
      </c>
      <c r="H305" s="59" t="inlineStr">
        <is>
          <t>Restaurant Greater Than 30 Seats</t>
        </is>
      </c>
      <c r="I305" s="59" t="inlineStr">
        <is>
          <t>cancelled</t>
        </is>
      </c>
      <c r="J305" s="63" t="n">
        <v>43440</v>
      </c>
      <c r="K305" s="63" t="n">
        <v>43488</v>
      </c>
      <c r="L305" s="63" t="n">
        <v>44701</v>
      </c>
      <c r="M305" s="70" t="n">
        <v>75000</v>
      </c>
      <c r="N305" s="59" t="n"/>
      <c r="O305" s="64" t="n"/>
      <c r="P305" s="59" t="n"/>
      <c r="Q305" s="65" t="inlineStr">
        <is>
          <t>Plumbing - Proposal for interior alterations for a vegan restaurant for seating of 40 persons, no grease-laden vapours. Unit 1.</t>
        </is>
      </c>
      <c r="R305" s="61" t="inlineStr">
        <is>
          <t>Map</t>
        </is>
      </c>
      <c r="S305" s="61" t="inlineStr">
        <is>
          <t>Raw data</t>
        </is>
      </c>
    </row>
    <row r="306" ht="16" customHeight="1">
      <c r="A306" s="59" t="inlineStr">
        <is>
          <t>65 Bristol Ave</t>
        </is>
      </c>
      <c r="B306" s="60" t="n">
        <v>179</v>
      </c>
      <c r="C306" s="59" t="inlineStr">
        <is>
          <t>486 Salem Ave N</t>
        </is>
      </c>
      <c r="D306" s="59" t="inlineStr">
        <is>
          <t>09 177921</t>
        </is>
      </c>
      <c r="E306" s="61" t="inlineStr">
        <is>
          <t>Building records request</t>
        </is>
      </c>
      <c r="F306" s="59" t="inlineStr">
        <is>
          <t>Addition or alteration</t>
        </is>
      </c>
      <c r="G306" s="59" t="inlineStr">
        <is>
          <t>Small Residential Projects</t>
        </is>
      </c>
      <c r="H306" s="59" t="inlineStr">
        <is>
          <t>SFD - Semi-Detached</t>
        </is>
      </c>
      <c r="I306" s="59" t="inlineStr">
        <is>
          <t>closed</t>
        </is>
      </c>
      <c r="J306" s="63" t="n">
        <v>40095</v>
      </c>
      <c r="K306" s="63" t="n">
        <v>40200</v>
      </c>
      <c r="L306" s="63" t="n">
        <v>43035</v>
      </c>
      <c r="M306" s="70" t="n"/>
      <c r="N306" s="59" t="inlineStr">
        <is>
          <t>Unreliable (zero or out of band)</t>
        </is>
      </c>
      <c r="O306" s="64" t="n"/>
      <c r="P306" s="59" t="n"/>
      <c r="Q306" s="65" t="inlineStr">
        <is>
          <t>admin folder for the underpinning of party wall. See 488 Salem Ave N</t>
        </is>
      </c>
      <c r="R306" s="61" t="inlineStr">
        <is>
          <t>Map</t>
        </is>
      </c>
      <c r="S306" s="61" t="inlineStr">
        <is>
          <t>Raw data</t>
        </is>
      </c>
    </row>
    <row r="307" ht="16" customHeight="1">
      <c r="A307" s="59" t="inlineStr">
        <is>
          <t>65 Bristol Ave</t>
        </is>
      </c>
      <c r="B307" s="60" t="n">
        <v>181</v>
      </c>
      <c r="C307" s="59" t="inlineStr">
        <is>
          <t>488 Salem Ave N</t>
        </is>
      </c>
      <c r="D307" s="59" t="inlineStr">
        <is>
          <t>12 144600</t>
        </is>
      </c>
      <c r="E307" s="61" t="inlineStr">
        <is>
          <t>Building records request</t>
        </is>
      </c>
      <c r="F307" s="59" t="inlineStr">
        <is>
          <t>Addition or alteration</t>
        </is>
      </c>
      <c r="G307" s="59" t="inlineStr">
        <is>
          <t>Small Residential Projects</t>
        </is>
      </c>
      <c r="H307" s="59" t="inlineStr">
        <is>
          <t>SFD - Semi-Detached</t>
        </is>
      </c>
      <c r="I307" s="59" t="inlineStr">
        <is>
          <t>closed</t>
        </is>
      </c>
      <c r="J307" s="63" t="n">
        <v>40996</v>
      </c>
      <c r="K307" s="63" t="n">
        <v>40998</v>
      </c>
      <c r="L307" s="63" t="n">
        <v>45939</v>
      </c>
      <c r="M307" s="70" t="n">
        <v>13000</v>
      </c>
      <c r="N307" s="59" t="n"/>
      <c r="O307" s="64" t="n"/>
      <c r="P307" s="59" t="n"/>
      <c r="Q307" s="65" t="inlineStr">
        <is>
          <t>Construct rear yard detached garage with party wall</t>
        </is>
      </c>
      <c r="R307" s="61" t="inlineStr">
        <is>
          <t>Map</t>
        </is>
      </c>
      <c r="S307" s="61" t="inlineStr">
        <is>
          <t>Raw data</t>
        </is>
      </c>
    </row>
    <row r="308" ht="29" customHeight="1">
      <c r="A308" s="59" t="inlineStr">
        <is>
          <t>65 Bristol Ave</t>
        </is>
      </c>
      <c r="B308" s="60" t="n">
        <v>181</v>
      </c>
      <c r="C308" s="59" t="inlineStr">
        <is>
          <t>135 Bristol Ave</t>
        </is>
      </c>
      <c r="D308" s="59" t="inlineStr">
        <is>
          <t>21 246028</t>
        </is>
      </c>
      <c r="E308" s="61" t="inlineStr">
        <is>
          <t>Building records request</t>
        </is>
      </c>
      <c r="F308" s="59" t="inlineStr">
        <is>
          <t>Addition or alteration</t>
        </is>
      </c>
      <c r="G308" s="59" t="inlineStr">
        <is>
          <t>Small Residential Projects</t>
        </is>
      </c>
      <c r="H308" s="59" t="inlineStr">
        <is>
          <t>SFD - Detached</t>
        </is>
      </c>
      <c r="I308" s="59" t="inlineStr">
        <is>
          <t>closed</t>
        </is>
      </c>
      <c r="J308" s="63" t="n">
        <v>44537</v>
      </c>
      <c r="K308" s="63" t="n">
        <v>44792</v>
      </c>
      <c r="L308" s="63" t="n">
        <v>46143</v>
      </c>
      <c r="M308" s="70" t="n">
        <v>5000</v>
      </c>
      <c r="N308" s="59" t="n"/>
      <c r="O308" s="64" t="n"/>
      <c r="P308" s="59" t="n"/>
      <c r="Q308" s="65" t="inlineStr">
        <is>
          <t>Rebuild rear wood frame addition and existing wood stairs to be rebuilt</t>
        </is>
      </c>
      <c r="R308" s="61" t="inlineStr">
        <is>
          <t>Map</t>
        </is>
      </c>
      <c r="S308" s="61" t="inlineStr">
        <is>
          <t>Raw data</t>
        </is>
      </c>
    </row>
    <row r="309" ht="42" customHeight="1">
      <c r="A309" s="59" t="inlineStr">
        <is>
          <t>65 Bristol Ave</t>
        </is>
      </c>
      <c r="B309" s="60" t="n">
        <v>181</v>
      </c>
      <c r="C309" s="59" t="inlineStr">
        <is>
          <t>218 Geary Ave</t>
        </is>
      </c>
      <c r="D309" s="59" t="inlineStr">
        <is>
          <t>22 186552</t>
        </is>
      </c>
      <c r="E309" s="61" t="inlineStr">
        <is>
          <t>Check permit status</t>
        </is>
      </c>
      <c r="F309" s="59" t="inlineStr">
        <is>
          <t>Addition or alteration</t>
        </is>
      </c>
      <c r="G309" s="59" t="inlineStr">
        <is>
          <t>Plumbing(PS); Building Additions/Alterations</t>
        </is>
      </c>
      <c r="H309" s="59" t="inlineStr">
        <is>
          <t>Restaurant 30 Seats or Less</t>
        </is>
      </c>
      <c r="I309" s="59" t="inlineStr">
        <is>
          <t>revocation pending</t>
        </is>
      </c>
      <c r="J309" s="63" t="n">
        <v>44778</v>
      </c>
      <c r="K309" s="63" t="n">
        <v>44830</v>
      </c>
      <c r="L309" s="63" t="n">
        <v>46216</v>
      </c>
      <c r="M309" s="70" t="n">
        <v>75000</v>
      </c>
      <c r="N309" s="59" t="n"/>
      <c r="O309" s="64" t="n"/>
      <c r="P309" s="59" t="n"/>
      <c r="Q309" s="65" t="inlineStr">
        <is>
          <t>PERMIT REVISION - SIZE REVISION OF DOOR OPENING; UPDATED STRUCTURAL AND ARCHITECTURAL DRAWINGSREQUEST FOR PLB PERMIT CANCELLATION [NO WORK TO EXISTING CONDITION]</t>
        </is>
      </c>
      <c r="R309" s="61" t="inlineStr">
        <is>
          <t>Map</t>
        </is>
      </c>
      <c r="S309" s="61" t="inlineStr">
        <is>
          <t>Raw data</t>
        </is>
      </c>
    </row>
    <row r="310" ht="16" customHeight="1">
      <c r="A310" s="59" t="inlineStr">
        <is>
          <t>65 Bristol Ave</t>
        </is>
      </c>
      <c r="B310" s="60" t="n">
        <v>182</v>
      </c>
      <c r="C310" s="59" t="inlineStr">
        <is>
          <t>417 Bartlett Ave N</t>
        </is>
      </c>
      <c r="D310" s="59" t="inlineStr">
        <is>
          <t>09 181578</t>
        </is>
      </c>
      <c r="E310" s="61" t="inlineStr">
        <is>
          <t>Building records request</t>
        </is>
      </c>
      <c r="F310" s="59" t="inlineStr">
        <is>
          <t>Addition or alteration</t>
        </is>
      </c>
      <c r="G310" s="59" t="inlineStr">
        <is>
          <t>Small Residential Projects</t>
        </is>
      </c>
      <c r="H310" s="59" t="inlineStr">
        <is>
          <t>SFD - Detached</t>
        </is>
      </c>
      <c r="I310" s="59" t="inlineStr">
        <is>
          <t>under inspection</t>
        </is>
      </c>
      <c r="J310" s="63" t="n">
        <v>40108</v>
      </c>
      <c r="K310" s="63" t="n">
        <v>40109</v>
      </c>
      <c r="L310" s="63" t="n"/>
      <c r="M310" s="70" t="n">
        <v>7000</v>
      </c>
      <c r="N310" s="59" t="n"/>
      <c r="O310" s="64" t="n"/>
      <c r="P310" s="59" t="n"/>
      <c r="Q310" s="65" t="inlineStr">
        <is>
          <t>demolish and rebuild garage at rear</t>
        </is>
      </c>
      <c r="R310" s="61" t="inlineStr">
        <is>
          <t>Map</t>
        </is>
      </c>
      <c r="S310" s="61" t="inlineStr">
        <is>
          <t>Raw data</t>
        </is>
      </c>
    </row>
    <row r="311" ht="16" customHeight="1">
      <c r="A311" s="59" t="inlineStr">
        <is>
          <t>65 Bristol Ave</t>
        </is>
      </c>
      <c r="B311" s="60" t="n">
        <v>182</v>
      </c>
      <c r="C311" s="59" t="inlineStr">
        <is>
          <t>1404 Dufferin St</t>
        </is>
      </c>
      <c r="D311" s="59" t="inlineStr">
        <is>
          <t>18 206078</t>
        </is>
      </c>
      <c r="E311" s="61" t="inlineStr">
        <is>
          <t>Building records request</t>
        </is>
      </c>
      <c r="F311" s="59" t="inlineStr">
        <is>
          <t>Other</t>
        </is>
      </c>
      <c r="G311" s="59" t="inlineStr">
        <is>
          <t>Drain and Site Service</t>
        </is>
      </c>
      <c r="H311" s="59" t="inlineStr">
        <is>
          <t>SFD - Townhouse</t>
        </is>
      </c>
      <c r="I311" s="59" t="inlineStr">
        <is>
          <t>closed</t>
        </is>
      </c>
      <c r="J311" s="63" t="n">
        <v>43320</v>
      </c>
      <c r="K311" s="63" t="n">
        <v>43320</v>
      </c>
      <c r="L311" s="63" t="n">
        <v>43384</v>
      </c>
      <c r="M311" s="70" t="n"/>
      <c r="N311" s="59" t="inlineStr">
        <is>
          <t>Not declared</t>
        </is>
      </c>
      <c r="O311" s="64" t="n"/>
      <c r="P311" s="59" t="n"/>
      <c r="Q311" s="65" t="inlineStr">
        <is>
          <t>Proposal to install vack water valve.</t>
        </is>
      </c>
      <c r="R311" s="61" t="inlineStr">
        <is>
          <t>Map</t>
        </is>
      </c>
      <c r="S311" s="61" t="inlineStr">
        <is>
          <t>Raw data</t>
        </is>
      </c>
    </row>
    <row r="312" ht="16" customHeight="1">
      <c r="A312" s="59" t="inlineStr">
        <is>
          <t>65 Bristol Ave</t>
        </is>
      </c>
      <c r="B312" s="60" t="n">
        <v>182</v>
      </c>
      <c r="C312" s="59" t="inlineStr">
        <is>
          <t>1406 Dufferin St</t>
        </is>
      </c>
      <c r="D312" s="59" t="inlineStr">
        <is>
          <t>18 206080</t>
        </is>
      </c>
      <c r="E312" s="61" t="inlineStr">
        <is>
          <t>Building records request</t>
        </is>
      </c>
      <c r="F312" s="59" t="inlineStr">
        <is>
          <t>Other</t>
        </is>
      </c>
      <c r="G312" s="59" t="inlineStr">
        <is>
          <t>Drain and Site Service</t>
        </is>
      </c>
      <c r="H312" s="59" t="inlineStr">
        <is>
          <t>SFD - Townhouse</t>
        </is>
      </c>
      <c r="I312" s="59" t="inlineStr">
        <is>
          <t>closed</t>
        </is>
      </c>
      <c r="J312" s="63" t="n">
        <v>43320</v>
      </c>
      <c r="K312" s="63" t="n">
        <v>43320</v>
      </c>
      <c r="L312" s="63" t="n">
        <v>43347</v>
      </c>
      <c r="M312" s="70" t="n"/>
      <c r="N312" s="59" t="inlineStr">
        <is>
          <t>Not declared</t>
        </is>
      </c>
      <c r="O312" s="64" t="n"/>
      <c r="P312" s="59" t="n"/>
      <c r="Q312" s="65" t="inlineStr">
        <is>
          <t>Proposal to install back water valve.</t>
        </is>
      </c>
      <c r="R312" s="61" t="inlineStr">
        <is>
          <t>Map</t>
        </is>
      </c>
      <c r="S312" s="61" t="inlineStr">
        <is>
          <t>Raw data</t>
        </is>
      </c>
    </row>
    <row r="313" ht="68" customHeight="1">
      <c r="A313" s="59" t="inlineStr">
        <is>
          <t>65 Bristol Ave</t>
        </is>
      </c>
      <c r="B313" s="60" t="n">
        <v>182</v>
      </c>
      <c r="C313" s="59" t="inlineStr">
        <is>
          <t>1404 Dufferin St</t>
        </is>
      </c>
      <c r="D313" s="59" t="inlineStr">
        <is>
          <t>21 199435</t>
        </is>
      </c>
      <c r="E313" s="61" t="inlineStr">
        <is>
          <t>Building records request</t>
        </is>
      </c>
      <c r="F313" s="59" t="inlineStr">
        <is>
          <t>Addition or alteration</t>
        </is>
      </c>
      <c r="G313" s="59" t="inlineStr">
        <is>
          <t>Mechanical(MS); Plumbing(PS); Small Residential Projects; Drain and Site Service</t>
        </is>
      </c>
      <c r="H313" s="59" t="inlineStr">
        <is>
          <t>2 Unit - Townhouse</t>
        </is>
      </c>
      <c r="I313" s="59" t="inlineStr">
        <is>
          <t>closed</t>
        </is>
      </c>
      <c r="J313" s="63" t="n">
        <v>44425</v>
      </c>
      <c r="K313" s="63" t="n">
        <v>44440</v>
      </c>
      <c r="L313" s="63" t="n">
        <v>45254</v>
      </c>
      <c r="M313" s="70" t="n">
        <v>200000</v>
      </c>
      <c r="N313" s="59" t="n"/>
      <c r="O313" s="64" t="n">
        <v>1</v>
      </c>
      <c r="P313" s="59" t="n"/>
      <c r="Q313" s="65" t="inlineStr">
        <is>
          <t>Rev 1:1-Minor window revisions to existing approved permits for 1406-1404-1402 dufferin street.2-New construction assembly of south elevation wall3-Addition of powder room on main level and re-configuration of second floor bathroom Proposal to construct a new two storey laneway suite.</t>
        </is>
      </c>
      <c r="R313" s="61" t="inlineStr">
        <is>
          <t>Map</t>
        </is>
      </c>
      <c r="S313" s="61" t="inlineStr">
        <is>
          <t>Raw data</t>
        </is>
      </c>
    </row>
    <row r="314" ht="68" customHeight="1">
      <c r="A314" s="59" t="inlineStr">
        <is>
          <t>65 Bristol Ave</t>
        </is>
      </c>
      <c r="B314" s="60" t="n">
        <v>182</v>
      </c>
      <c r="C314" s="59" t="inlineStr">
        <is>
          <t>1406 Dufferin St</t>
        </is>
      </c>
      <c r="D314" s="59" t="inlineStr">
        <is>
          <t>21 199441</t>
        </is>
      </c>
      <c r="E314" s="61" t="inlineStr">
        <is>
          <t>Building records request</t>
        </is>
      </c>
      <c r="F314" s="59" t="inlineStr">
        <is>
          <t>Addition or alteration</t>
        </is>
      </c>
      <c r="G314" s="59" t="inlineStr">
        <is>
          <t>Mechanical(MS); Plumbing(PS); Small Residential Projects; Drain and Site Service</t>
        </is>
      </c>
      <c r="H314" s="59" t="inlineStr">
        <is>
          <t>2 Unit - Townhouse</t>
        </is>
      </c>
      <c r="I314" s="59" t="inlineStr">
        <is>
          <t>closed</t>
        </is>
      </c>
      <c r="J314" s="63" t="n">
        <v>44425</v>
      </c>
      <c r="K314" s="63" t="n">
        <v>44609</v>
      </c>
      <c r="L314" s="63" t="n">
        <v>45254</v>
      </c>
      <c r="M314" s="70" t="n">
        <v>200000</v>
      </c>
      <c r="N314" s="59" t="n"/>
      <c r="O314" s="64" t="n"/>
      <c r="P314" s="59" t="n"/>
      <c r="Q314" s="65" t="inlineStr">
        <is>
          <t>Rev 1: 1-Minor window revisions to existing approved permits for 1406-1404-1402 dufferin street.2-New construction assembly of south elevation wall3-Addition of powder room on main level and re-configuration of second floor bathroomProposal to construct a new two storey laneway suite.</t>
        </is>
      </c>
      <c r="R314" s="61" t="inlineStr">
        <is>
          <t>Map</t>
        </is>
      </c>
      <c r="S314" s="61" t="inlineStr">
        <is>
          <t>Raw data</t>
        </is>
      </c>
    </row>
    <row r="315" ht="16" customHeight="1">
      <c r="A315" s="59" t="inlineStr">
        <is>
          <t>65 Bristol Ave</t>
        </is>
      </c>
      <c r="B315" s="60" t="n">
        <v>184</v>
      </c>
      <c r="C315" s="59" t="inlineStr">
        <is>
          <t>1402 Dufferin St</t>
        </is>
      </c>
      <c r="D315" s="59" t="inlineStr">
        <is>
          <t>18 206071</t>
        </is>
      </c>
      <c r="E315" s="61" t="inlineStr">
        <is>
          <t>Building records request</t>
        </is>
      </c>
      <c r="F315" s="59" t="inlineStr">
        <is>
          <t>Other</t>
        </is>
      </c>
      <c r="G315" s="59" t="inlineStr">
        <is>
          <t>Drain and Site Service</t>
        </is>
      </c>
      <c r="H315" s="59" t="inlineStr">
        <is>
          <t>SFD - Townhouse</t>
        </is>
      </c>
      <c r="I315" s="59" t="inlineStr">
        <is>
          <t>closed</t>
        </is>
      </c>
      <c r="J315" s="63" t="n">
        <v>43320</v>
      </c>
      <c r="K315" s="63" t="n">
        <v>43320</v>
      </c>
      <c r="L315" s="63" t="n">
        <v>43384</v>
      </c>
      <c r="M315" s="70" t="n"/>
      <c r="N315" s="59" t="inlineStr">
        <is>
          <t>Not declared</t>
        </is>
      </c>
      <c r="O315" s="64" t="n"/>
      <c r="P315" s="59" t="n"/>
      <c r="Q315" s="65" t="inlineStr">
        <is>
          <t>Proposal to install back water valve.</t>
        </is>
      </c>
      <c r="R315" s="61" t="inlineStr">
        <is>
          <t>Map</t>
        </is>
      </c>
      <c r="S315" s="61" t="inlineStr">
        <is>
          <t>Raw data</t>
        </is>
      </c>
    </row>
    <row r="316" ht="68" customHeight="1">
      <c r="A316" s="59" t="inlineStr">
        <is>
          <t>65 Bristol Ave</t>
        </is>
      </c>
      <c r="B316" s="60" t="n">
        <v>184</v>
      </c>
      <c r="C316" s="59" t="inlineStr">
        <is>
          <t>1402 Dufferin St</t>
        </is>
      </c>
      <c r="D316" s="59" t="inlineStr">
        <is>
          <t>21 199432</t>
        </is>
      </c>
      <c r="E316" s="61" t="inlineStr">
        <is>
          <t>Building records request</t>
        </is>
      </c>
      <c r="F316" s="59" t="inlineStr">
        <is>
          <t>Addition or alteration</t>
        </is>
      </c>
      <c r="G316" s="59" t="inlineStr">
        <is>
          <t>Mechanical(MS); Plumbing(PS); Small Residential Projects; Drain and Site Service</t>
        </is>
      </c>
      <c r="H316" s="59" t="inlineStr">
        <is>
          <t>2 Unit - Townhouse</t>
        </is>
      </c>
      <c r="I316" s="59" t="inlineStr">
        <is>
          <t>closed</t>
        </is>
      </c>
      <c r="J316" s="63" t="n">
        <v>44425</v>
      </c>
      <c r="K316" s="63" t="n">
        <v>44439</v>
      </c>
      <c r="L316" s="63" t="n">
        <v>45254</v>
      </c>
      <c r="M316" s="70" t="n">
        <v>200000</v>
      </c>
      <c r="N316" s="59" t="n"/>
      <c r="O316" s="64" t="n">
        <v>1</v>
      </c>
      <c r="P316" s="59" t="n"/>
      <c r="Q316" s="65" t="inlineStr">
        <is>
          <t>Rev 1: 1-Minor window revisions to existing approved permits for 1406-1404-1402 dufferin street.2-New construction assembly of south elevation wall3-Addition of powder room on main level and re-configuration of second floor bathroomProposal to construct a new two storey laneway suite.</t>
        </is>
      </c>
      <c r="R316" s="61" t="inlineStr">
        <is>
          <t>Map</t>
        </is>
      </c>
      <c r="S316" s="61" t="inlineStr">
        <is>
          <t>Raw data</t>
        </is>
      </c>
    </row>
    <row r="317" ht="29" customHeight="1">
      <c r="A317" s="59" t="inlineStr">
        <is>
          <t>65 Bristol Ave</t>
        </is>
      </c>
      <c r="B317" s="60" t="n">
        <v>185</v>
      </c>
      <c r="C317" s="59" t="inlineStr">
        <is>
          <t>418 Bartlett Ave N</t>
        </is>
      </c>
      <c r="D317" s="59" t="inlineStr">
        <is>
          <t>18 205445</t>
        </is>
      </c>
      <c r="E317" s="61" t="inlineStr">
        <is>
          <t>Building records request</t>
        </is>
      </c>
      <c r="F317" s="59" t="inlineStr">
        <is>
          <t>Addition or alteration</t>
        </is>
      </c>
      <c r="G317" s="59" t="inlineStr">
        <is>
          <t>Plumbing(PS); Small Residential Projects; Drain and Site Service</t>
        </is>
      </c>
      <c r="H317" s="59" t="inlineStr">
        <is>
          <t>SFD - Detached</t>
        </is>
      </c>
      <c r="I317" s="59" t="inlineStr">
        <is>
          <t>closed</t>
        </is>
      </c>
      <c r="J317" s="63" t="n">
        <v>43446</v>
      </c>
      <c r="K317" s="63" t="n">
        <v>43446</v>
      </c>
      <c r="L317" s="63" t="n">
        <v>43683</v>
      </c>
      <c r="M317" s="70" t="n">
        <v>72000</v>
      </c>
      <c r="N317" s="59" t="n"/>
      <c r="O317" s="64" t="n"/>
      <c r="P317" s="59" t="n"/>
      <c r="Q317" s="65" t="inlineStr">
        <is>
          <t>Plumbing - Proposed underpinning in the basement of an existing single family detached dwelling.</t>
        </is>
      </c>
      <c r="R317" s="61" t="inlineStr">
        <is>
          <t>Map</t>
        </is>
      </c>
      <c r="S317" s="61" t="inlineStr">
        <is>
          <t>Raw data</t>
        </is>
      </c>
    </row>
    <row r="318" ht="16" customHeight="1">
      <c r="A318" s="59" t="inlineStr">
        <is>
          <t>65 Bristol Ave</t>
        </is>
      </c>
      <c r="B318" s="60" t="n">
        <v>185</v>
      </c>
      <c r="C318" s="59" t="inlineStr">
        <is>
          <t>418 Bartlett Ave N</t>
        </is>
      </c>
      <c r="D318" s="59" t="inlineStr">
        <is>
          <t>18 267560</t>
        </is>
      </c>
      <c r="E318" s="61" t="inlineStr">
        <is>
          <t>Building records request</t>
        </is>
      </c>
      <c r="F318" s="59" t="inlineStr">
        <is>
          <t>Other</t>
        </is>
      </c>
      <c r="G318" s="59" t="inlineStr">
        <is>
          <t>Drain and Site Service</t>
        </is>
      </c>
      <c r="H318" s="59" t="inlineStr">
        <is>
          <t>SFD - Detached</t>
        </is>
      </c>
      <c r="I318" s="59" t="inlineStr">
        <is>
          <t>closed</t>
        </is>
      </c>
      <c r="J318" s="63" t="n">
        <v>43446</v>
      </c>
      <c r="K318" s="63" t="n">
        <v>43453</v>
      </c>
      <c r="L318" s="63" t="n">
        <v>43683</v>
      </c>
      <c r="M318" s="70" t="n"/>
      <c r="N318" s="59" t="inlineStr">
        <is>
          <t>Not declared</t>
        </is>
      </c>
      <c r="O318" s="64" t="n"/>
      <c r="P318" s="59" t="n"/>
      <c r="Q318" s="65" t="inlineStr">
        <is>
          <t>Proposal to install back water valve and sump pump.</t>
        </is>
      </c>
      <c r="R318" s="61" t="inlineStr">
        <is>
          <t>Map</t>
        </is>
      </c>
      <c r="S318" s="61" t="inlineStr">
        <is>
          <t>Raw data</t>
        </is>
      </c>
    </row>
    <row r="319" ht="29" customHeight="1">
      <c r="A319" s="59" t="inlineStr">
        <is>
          <t>65 Bristol Ave</t>
        </is>
      </c>
      <c r="B319" s="60" t="n">
        <v>185</v>
      </c>
      <c r="C319" s="59" t="inlineStr">
        <is>
          <t>418 Bartlett Ave N</t>
        </is>
      </c>
      <c r="D319" s="59" t="inlineStr">
        <is>
          <t>19 134129</t>
        </is>
      </c>
      <c r="E319" s="61" t="inlineStr">
        <is>
          <t>Building records request</t>
        </is>
      </c>
      <c r="F319" s="59" t="inlineStr">
        <is>
          <t>Addition or alteration</t>
        </is>
      </c>
      <c r="G319" s="59" t="inlineStr">
        <is>
          <t>Mechanical(MS); Small Residential Projects</t>
        </is>
      </c>
      <c r="H319" s="59" t="inlineStr">
        <is>
          <t>SFD - Detached</t>
        </is>
      </c>
      <c r="I319" s="59" t="inlineStr">
        <is>
          <t>closed</t>
        </is>
      </c>
      <c r="J319" s="63" t="n">
        <v>43557</v>
      </c>
      <c r="K319" s="63" t="n">
        <v>43570</v>
      </c>
      <c r="L319" s="63" t="n">
        <v>43683</v>
      </c>
      <c r="M319" s="70" t="n">
        <v>10000</v>
      </c>
      <c r="N319" s="59" t="n"/>
      <c r="O319" s="64" t="n"/>
      <c r="P319" s="59" t="n"/>
      <c r="Q319" s="65" t="inlineStr">
        <is>
          <t>HVAC - TO ADD LAUNDRY + W/C. TO REMOVE JOIST TO INCREASE HEAD ROOM, STRUCTURAL REVISIONS AND BEAMS TO BE INSTALLED.</t>
        </is>
      </c>
      <c r="R319" s="61" t="inlineStr">
        <is>
          <t>Map</t>
        </is>
      </c>
      <c r="S319" s="61" t="inlineStr">
        <is>
          <t>Raw data</t>
        </is>
      </c>
    </row>
    <row r="320" ht="94" customHeight="1">
      <c r="A320" s="59" t="inlineStr">
        <is>
          <t>65 Bristol Ave</t>
        </is>
      </c>
      <c r="B320" s="60" t="n">
        <v>186</v>
      </c>
      <c r="C320" s="59" t="inlineStr">
        <is>
          <t>222 Geary Ave</t>
        </is>
      </c>
      <c r="D320" s="59" t="inlineStr">
        <is>
          <t>25 116847</t>
        </is>
      </c>
      <c r="E320" s="61" t="inlineStr">
        <is>
          <t>Check permit status</t>
        </is>
      </c>
      <c r="F320" s="59" t="inlineStr">
        <is>
          <t>Addition or alteration</t>
        </is>
      </c>
      <c r="G320" s="59" t="inlineStr">
        <is>
          <t>Plumbing(PS); Building Additions/Alterations; Mechanical(MS)</t>
        </is>
      </c>
      <c r="H320" s="59" t="inlineStr">
        <is>
          <t>Restaurant Greater Than 30 Seats</t>
        </is>
      </c>
      <c r="I320" s="59" t="inlineStr">
        <is>
          <t>under inspection</t>
        </is>
      </c>
      <c r="J320" s="63" t="n">
        <v>45701</v>
      </c>
      <c r="K320" s="63" t="n">
        <v>45764</v>
      </c>
      <c r="L320" s="63" t="n">
        <v>46174</v>
      </c>
      <c r="M320" s="70" t="n">
        <v>500000</v>
      </c>
      <c r="N320" s="59" t="n"/>
      <c r="O320" s="64" t="n"/>
      <c r="P320" s="59" t="inlineStr">
        <is>
          <t>A1083/23TEY</t>
        </is>
      </c>
      <c r="Q320" s="65" t="inlineStr">
        <is>
          <t>Revision # 2 - Revise extent of metal guardrails and replace with metal stud knee walls ascost saving measure. Additionally, occupancy numbers maximized based on plumbingfixture numbersRevision to reconfiguring staff washroom layout and removal of change table in universal washroom as it is not required based. This will minimize structural modifications to existing CMU walls.Renovation within existing one storey interior space for an A2 restaurant. No change in NRGFA. All interior tenant fit up work within the lease space and patio. Change of use approved under CofA A1083/23TEY. Work includes mechanical, plumbing and structural upgrade.</t>
        </is>
      </c>
      <c r="R320" s="61" t="inlineStr">
        <is>
          <t>Map</t>
        </is>
      </c>
      <c r="S320" s="61" t="inlineStr">
        <is>
          <t>Raw data</t>
        </is>
      </c>
    </row>
    <row r="321" ht="29" customHeight="1">
      <c r="A321" s="59" t="inlineStr">
        <is>
          <t>65 Bristol Ave</t>
        </is>
      </c>
      <c r="B321" s="60" t="n">
        <v>190</v>
      </c>
      <c r="C321" s="59" t="inlineStr">
        <is>
          <t>1355 Dufferin St</t>
        </is>
      </c>
      <c r="D321" s="59" t="inlineStr">
        <is>
          <t>13 173934</t>
        </is>
      </c>
      <c r="E321" s="61" t="inlineStr">
        <is>
          <t>Building records request</t>
        </is>
      </c>
      <c r="F321" s="59" t="inlineStr">
        <is>
          <t>Other</t>
        </is>
      </c>
      <c r="G321" s="59" t="inlineStr">
        <is>
          <t>Plumbing(PS)</t>
        </is>
      </c>
      <c r="H321" s="59" t="inlineStr">
        <is>
          <t>Warehouse</t>
        </is>
      </c>
      <c r="I321" s="59" t="inlineStr">
        <is>
          <t>issued</t>
        </is>
      </c>
      <c r="J321" s="63" t="n">
        <v>41418</v>
      </c>
      <c r="K321" s="63" t="n">
        <v>41862</v>
      </c>
      <c r="L321" s="63" t="n"/>
      <c r="M321" s="70" t="n">
        <v>1500</v>
      </c>
      <c r="N321" s="59" t="n"/>
      <c r="O321" s="64" t="n"/>
      <c r="P321" s="59" t="n"/>
      <c r="Q321" s="65" t="inlineStr">
        <is>
          <t>Installation of (1) back flow prevention device into an existing warehouse.</t>
        </is>
      </c>
      <c r="R321" s="61" t="inlineStr">
        <is>
          <t>Map</t>
        </is>
      </c>
      <c r="S321" s="61" t="inlineStr">
        <is>
          <t>Raw data</t>
        </is>
      </c>
    </row>
    <row r="322" ht="29" customHeight="1">
      <c r="A322" s="59" t="inlineStr">
        <is>
          <t>65 Bristol Ave</t>
        </is>
      </c>
      <c r="B322" s="60" t="n">
        <v>191</v>
      </c>
      <c r="C322" s="59" t="inlineStr">
        <is>
          <t>1400 Dufferin St</t>
        </is>
      </c>
      <c r="D322" s="59" t="inlineStr">
        <is>
          <t>22 217237</t>
        </is>
      </c>
      <c r="E322" s="61" t="inlineStr">
        <is>
          <t>Check permit status</t>
        </is>
      </c>
      <c r="F322" s="59" t="inlineStr">
        <is>
          <t>Addition or alteration</t>
        </is>
      </c>
      <c r="G322" s="59" t="inlineStr">
        <is>
          <t>Building Additions/Alterations</t>
        </is>
      </c>
      <c r="H322" s="59" t="inlineStr">
        <is>
          <t>Industrial</t>
        </is>
      </c>
      <c r="I322" s="59" t="inlineStr">
        <is>
          <t>issued</t>
        </is>
      </c>
      <c r="J322" s="63" t="n">
        <v>44848</v>
      </c>
      <c r="K322" s="63" t="n">
        <v>44880</v>
      </c>
      <c r="L322" s="63" t="n"/>
      <c r="M322" s="70" t="n"/>
      <c r="N322" s="59" t="inlineStr">
        <is>
          <t>Unreliable (zero or out of band)</t>
        </is>
      </c>
      <c r="O322" s="64" t="n"/>
      <c r="P322" s="59" t="n"/>
      <c r="Q322" s="65" t="inlineStr">
        <is>
          <t>admin partywall permit in conjunction with 21 199432 BLD, 1402 Dufferin St.</t>
        </is>
      </c>
      <c r="R322" s="61" t="inlineStr">
        <is>
          <t>Map</t>
        </is>
      </c>
      <c r="S322" s="61" t="inlineStr">
        <is>
          <t>Raw data</t>
        </is>
      </c>
    </row>
    <row r="323" ht="29" customHeight="1">
      <c r="A323" s="59" t="inlineStr">
        <is>
          <t>65 Bristol Ave</t>
        </is>
      </c>
      <c r="B323" s="60" t="n">
        <v>191</v>
      </c>
      <c r="C323" s="59" t="inlineStr">
        <is>
          <t>420 Bartlett Ave N</t>
        </is>
      </c>
      <c r="D323" s="59" t="inlineStr">
        <is>
          <t>24 232525</t>
        </is>
      </c>
      <c r="E323" s="61" t="inlineStr">
        <is>
          <t>Building records request</t>
        </is>
      </c>
      <c r="F323" s="59" t="inlineStr">
        <is>
          <t>Other</t>
        </is>
      </c>
      <c r="G323" s="59" t="inlineStr">
        <is>
          <t>Drain and Site Service</t>
        </is>
      </c>
      <c r="H323" s="59" t="inlineStr">
        <is>
          <t>SFD - Detached</t>
        </is>
      </c>
      <c r="I323" s="59" t="inlineStr">
        <is>
          <t>closed</t>
        </is>
      </c>
      <c r="J323" s="63" t="n">
        <v>45594</v>
      </c>
      <c r="K323" s="63" t="n">
        <v>45595</v>
      </c>
      <c r="L323" s="63" t="n">
        <v>45604</v>
      </c>
      <c r="M323" s="70" t="n"/>
      <c r="N323" s="59" t="inlineStr">
        <is>
          <t>Not declared</t>
        </is>
      </c>
      <c r="O323" s="64" t="n"/>
      <c r="P323" s="59" t="n"/>
      <c r="Q323" s="65" t="inlineStr">
        <is>
          <t>Proposed installation back water valve for existing single family dwelling.</t>
        </is>
      </c>
      <c r="R323" s="61" t="inlineStr">
        <is>
          <t>Map</t>
        </is>
      </c>
      <c r="S323" s="61" t="inlineStr">
        <is>
          <t>Raw data</t>
        </is>
      </c>
    </row>
    <row r="324" ht="29" customHeight="1">
      <c r="A324" s="59" t="inlineStr">
        <is>
          <t>65 Bristol Ave</t>
        </is>
      </c>
      <c r="B324" s="60" t="n">
        <v>193</v>
      </c>
      <c r="C324" s="59" t="inlineStr">
        <is>
          <t>226 Geary Ave</t>
        </is>
      </c>
      <c r="D324" s="59" t="inlineStr">
        <is>
          <t>18 185194</t>
        </is>
      </c>
      <c r="E324" s="61" t="inlineStr">
        <is>
          <t>Check permit status</t>
        </is>
      </c>
      <c r="F324" s="59" t="inlineStr">
        <is>
          <t>Addition or alteration</t>
        </is>
      </c>
      <c r="G324" s="59" t="inlineStr">
        <is>
          <t>Mechanical(MS); Building Additions/Alterations</t>
        </is>
      </c>
      <c r="H324" s="59" t="inlineStr">
        <is>
          <t>Warehouse</t>
        </is>
      </c>
      <c r="I324" s="59" t="inlineStr">
        <is>
          <t>issued</t>
        </is>
      </c>
      <c r="J324" s="63" t="n">
        <v>43278</v>
      </c>
      <c r="K324" s="63" t="n">
        <v>43339</v>
      </c>
      <c r="L324" s="63" t="n"/>
      <c r="M324" s="70" t="n">
        <v>40000</v>
      </c>
      <c r="N324" s="59" t="n"/>
      <c r="O324" s="64" t="n"/>
      <c r="P324" s="59" t="n"/>
      <c r="Q324" s="65" t="inlineStr">
        <is>
          <t>HVAC - Proposal to construct interior alterations to convert existing warehouse space to a warehouse/catering kitchen use.</t>
        </is>
      </c>
      <c r="R324" s="61" t="inlineStr">
        <is>
          <t>Map</t>
        </is>
      </c>
      <c r="S324" s="61" t="inlineStr">
        <is>
          <t>Raw data</t>
        </is>
      </c>
    </row>
    <row r="325" ht="29" customHeight="1">
      <c r="A325" s="59" t="inlineStr">
        <is>
          <t>65 Bristol Ave</t>
        </is>
      </c>
      <c r="B325" s="60" t="n">
        <v>195</v>
      </c>
      <c r="C325" s="59" t="inlineStr">
        <is>
          <t>500 Salem Ave N</t>
        </is>
      </c>
      <c r="D325" s="59" t="inlineStr">
        <is>
          <t>19 109164</t>
        </is>
      </c>
      <c r="E325" s="61" t="inlineStr">
        <is>
          <t>Building records request</t>
        </is>
      </c>
      <c r="F325" s="59" t="inlineStr">
        <is>
          <t>Addition or alteration</t>
        </is>
      </c>
      <c r="G325" s="59" t="inlineStr">
        <is>
          <t>Small Residential Projects</t>
        </is>
      </c>
      <c r="H325" s="59" t="inlineStr">
        <is>
          <t>SFD - Detached</t>
        </is>
      </c>
      <c r="I325" s="59" t="inlineStr">
        <is>
          <t>closed</t>
        </is>
      </c>
      <c r="J325" s="63" t="n">
        <v>43493</v>
      </c>
      <c r="K325" s="63" t="n">
        <v>43500</v>
      </c>
      <c r="L325" s="63" t="n">
        <v>43592</v>
      </c>
      <c r="M325" s="70" t="n">
        <v>15000</v>
      </c>
      <c r="N325" s="59" t="n"/>
      <c r="O325" s="64" t="n"/>
      <c r="P325" s="59" t="n"/>
      <c r="Q325" s="65" t="inlineStr">
        <is>
          <t>Repair to detached garage due to fire damage, roof frame to be replaced.</t>
        </is>
      </c>
      <c r="R325" s="61" t="inlineStr">
        <is>
          <t>Map</t>
        </is>
      </c>
      <c r="S325" s="61" t="inlineStr">
        <is>
          <t>Raw data</t>
        </is>
      </c>
    </row>
    <row r="326" ht="55" customHeight="1">
      <c r="A326" s="59" t="inlineStr">
        <is>
          <t>65 Bristol Ave</t>
        </is>
      </c>
      <c r="B326" s="60" t="n">
        <v>198</v>
      </c>
      <c r="C326" s="59" t="inlineStr">
        <is>
          <t>2 Chandos Ave</t>
        </is>
      </c>
      <c r="D326" s="59" t="inlineStr">
        <is>
          <t>11 274079</t>
        </is>
      </c>
      <c r="E326" s="61" t="inlineStr">
        <is>
          <t>Building records request</t>
        </is>
      </c>
      <c r="F326" s="59" t="inlineStr">
        <is>
          <t>Addition or alteration</t>
        </is>
      </c>
      <c r="G326" s="59" t="inlineStr">
        <is>
          <t>Mechanical(MS); Small Residential Projects; Plumbing(PS)</t>
        </is>
      </c>
      <c r="H326" s="59" t="inlineStr">
        <is>
          <t>Converted House</t>
        </is>
      </c>
      <c r="I326" s="59" t="inlineStr">
        <is>
          <t>under inspection</t>
        </is>
      </c>
      <c r="J326" s="63" t="n">
        <v>40997</v>
      </c>
      <c r="K326" s="63" t="n">
        <v>41081</v>
      </c>
      <c r="L326" s="63" t="n">
        <v>43049</v>
      </c>
      <c r="M326" s="70" t="n">
        <v>50000</v>
      </c>
      <c r="N326" s="59" t="n"/>
      <c r="O326" s="64" t="n"/>
      <c r="P326" s="59" t="n"/>
      <c r="Q326" s="65" t="inlineStr">
        <is>
          <t>Plumbing - To convert an existing 2 storey semi-detached dwelling into 2 units and construct a second storey rear addition, two storey rear addition, new concrete rear deck, with common party wall with #2A Chandos Avenue, also construct basement walkout, interior alterations.</t>
        </is>
      </c>
      <c r="R326" s="61" t="inlineStr">
        <is>
          <t>Map</t>
        </is>
      </c>
      <c r="S326" s="61" t="inlineStr">
        <is>
          <t>Raw data</t>
        </is>
      </c>
    </row>
    <row r="327" ht="16" customHeight="1">
      <c r="A327" s="59" t="inlineStr">
        <is>
          <t>65 Bristol Ave</t>
        </is>
      </c>
      <c r="B327" s="60" t="n">
        <v>198</v>
      </c>
      <c r="C327" s="59" t="inlineStr">
        <is>
          <t>2 Chandos Ave</t>
        </is>
      </c>
      <c r="D327" s="59" t="inlineStr">
        <is>
          <t>22 176089</t>
        </is>
      </c>
      <c r="E327" s="61" t="inlineStr">
        <is>
          <t>Building records request</t>
        </is>
      </c>
      <c r="F327" s="59" t="inlineStr">
        <is>
          <t>Addition or alteration</t>
        </is>
      </c>
      <c r="G327" s="59" t="inlineStr">
        <is>
          <t>Small Residential Projects</t>
        </is>
      </c>
      <c r="H327" s="59" t="inlineStr">
        <is>
          <t>SFD - Semi-Detached</t>
        </is>
      </c>
      <c r="I327" s="59" t="inlineStr">
        <is>
          <t>closed</t>
        </is>
      </c>
      <c r="J327" s="63" t="n">
        <v>44755</v>
      </c>
      <c r="K327" s="63" t="n">
        <v>44763</v>
      </c>
      <c r="L327" s="63" t="n">
        <v>45345</v>
      </c>
      <c r="M327" s="70" t="n"/>
      <c r="N327" s="59" t="inlineStr">
        <is>
          <t>Unreliable (zero or out of band)</t>
        </is>
      </c>
      <c r="O327" s="64" t="n"/>
      <c r="P327" s="59" t="n"/>
      <c r="Q327" s="65" t="inlineStr">
        <is>
          <t>Adminstrative Party Wall permit for work relating to 2A Chandos Ave.</t>
        </is>
      </c>
      <c r="R327" s="61" t="inlineStr">
        <is>
          <t>Map</t>
        </is>
      </c>
      <c r="S327" s="61" t="inlineStr">
        <is>
          <t>Raw data</t>
        </is>
      </c>
    </row>
    <row r="328" ht="16" customHeight="1">
      <c r="A328" s="59" t="inlineStr">
        <is>
          <t>65 Bristol Ave</t>
        </is>
      </c>
      <c r="B328" s="60" t="n">
        <v>199</v>
      </c>
      <c r="C328" s="59" t="inlineStr">
        <is>
          <t>436 Bartlett Ave N</t>
        </is>
      </c>
      <c r="D328" s="59" t="inlineStr">
        <is>
          <t>25 141365</t>
        </is>
      </c>
      <c r="E328" s="61" t="inlineStr">
        <is>
          <t>Check permit status</t>
        </is>
      </c>
      <c r="F328" s="59" t="inlineStr">
        <is>
          <t>Addition or alteration</t>
        </is>
      </c>
      <c r="G328" s="59" t="inlineStr">
        <is>
          <t>Mechanical(MS); Small Residential Projects; Plumbing(PS)</t>
        </is>
      </c>
      <c r="H328" s="59" t="inlineStr">
        <is>
          <t>2 Unit - Semi-detached</t>
        </is>
      </c>
      <c r="I328" s="59" t="inlineStr">
        <is>
          <t>issued</t>
        </is>
      </c>
      <c r="J328" s="63" t="n">
        <v>45798</v>
      </c>
      <c r="K328" s="63" t="n">
        <v>45803</v>
      </c>
      <c r="L328" s="63" t="n"/>
      <c r="M328" s="70" t="n">
        <v>50000</v>
      </c>
      <c r="N328" s="59" t="n"/>
      <c r="O328" s="64" t="n">
        <v>1</v>
      </c>
      <c r="P328" s="59" t="n"/>
      <c r="Q328" s="65" t="inlineStr">
        <is>
          <t>Plumbing - Proposal to legalize duplex through interior alterations</t>
        </is>
      </c>
      <c r="R328" s="61" t="inlineStr">
        <is>
          <t>Map</t>
        </is>
      </c>
      <c r="S328" s="61" t="inlineStr">
        <is>
          <t>Raw data</t>
        </is>
      </c>
    </row>
    <row r="329" ht="29" customHeight="1">
      <c r="A329" s="59" t="inlineStr">
        <is>
          <t>65 Bristol Ave</t>
        </is>
      </c>
      <c r="B329" s="60" t="n">
        <v>203</v>
      </c>
      <c r="C329" s="59" t="inlineStr">
        <is>
          <t>1351 Dufferin St</t>
        </is>
      </c>
      <c r="D329" s="59" t="inlineStr">
        <is>
          <t>13 173919</t>
        </is>
      </c>
      <c r="E329" s="61" t="inlineStr">
        <is>
          <t>Building records request</t>
        </is>
      </c>
      <c r="F329" s="59" t="inlineStr">
        <is>
          <t>Other</t>
        </is>
      </c>
      <c r="G329" s="59" t="inlineStr">
        <is>
          <t>Plumbing(PS)</t>
        </is>
      </c>
      <c r="H329" s="59" t="inlineStr">
        <is>
          <t>Repair Garage</t>
        </is>
      </c>
      <c r="I329" s="59" t="inlineStr">
        <is>
          <t>cancelled</t>
        </is>
      </c>
      <c r="J329" s="63" t="n">
        <v>41418</v>
      </c>
      <c r="K329" s="63" t="n">
        <v>41862</v>
      </c>
      <c r="L329" s="63" t="n">
        <v>45958</v>
      </c>
      <c r="M329" s="70" t="n"/>
      <c r="N329" s="59" t="inlineStr">
        <is>
          <t>Unreliable (zero or out of band)</t>
        </is>
      </c>
      <c r="O329" s="64" t="n"/>
      <c r="P329" s="59" t="n"/>
      <c r="Q329" s="65" t="inlineStr">
        <is>
          <t>Installation of (1) back flow prevention device into an existing repair garage.</t>
        </is>
      </c>
      <c r="R329" s="61" t="inlineStr">
        <is>
          <t>Map</t>
        </is>
      </c>
      <c r="S329" s="61" t="inlineStr">
        <is>
          <t>Raw data</t>
        </is>
      </c>
    </row>
    <row r="330" ht="29" customHeight="1">
      <c r="A330" s="59" t="inlineStr">
        <is>
          <t>65 Bristol Ave</t>
        </is>
      </c>
      <c r="B330" s="60" t="n">
        <v>204</v>
      </c>
      <c r="C330" s="59" t="inlineStr">
        <is>
          <t>506 Salem Ave N</t>
        </is>
      </c>
      <c r="D330" s="59" t="inlineStr">
        <is>
          <t>13 194099</t>
        </is>
      </c>
      <c r="E330" s="61" t="inlineStr">
        <is>
          <t>Building records request</t>
        </is>
      </c>
      <c r="F330" s="59" t="inlineStr">
        <is>
          <t>Addition or alteration</t>
        </is>
      </c>
      <c r="G330" s="59" t="inlineStr">
        <is>
          <t>Plumbing(PS); Small Residential Projects</t>
        </is>
      </c>
      <c r="H330" s="59" t="inlineStr">
        <is>
          <t>SFD - Detached</t>
        </is>
      </c>
      <c r="I330" s="59" t="inlineStr">
        <is>
          <t>closed</t>
        </is>
      </c>
      <c r="J330" s="63" t="n">
        <v>41450</v>
      </c>
      <c r="K330" s="63" t="n">
        <v>41453</v>
      </c>
      <c r="L330" s="63" t="n">
        <v>46009</v>
      </c>
      <c r="M330" s="70" t="n">
        <v>15000</v>
      </c>
      <c r="N330" s="59" t="n"/>
      <c r="O330" s="64" t="n"/>
      <c r="P330" s="59" t="n"/>
      <c r="Q330" s="65" t="inlineStr">
        <is>
          <t>Plumbing - Proposal to rebuild verandah cold storage and basement entrance to existing sfd-detached</t>
        </is>
      </c>
      <c r="R330" s="61" t="inlineStr">
        <is>
          <t>Map</t>
        </is>
      </c>
      <c r="S330" s="61" t="inlineStr">
        <is>
          <t>Raw data</t>
        </is>
      </c>
    </row>
    <row r="331" ht="16" customHeight="1">
      <c r="A331" s="59" t="inlineStr">
        <is>
          <t>65 Bristol Ave</t>
        </is>
      </c>
      <c r="B331" s="60" t="n">
        <v>204</v>
      </c>
      <c r="C331" s="59" t="inlineStr">
        <is>
          <t>506 Salem Ave N</t>
        </is>
      </c>
      <c r="D331" s="59" t="inlineStr">
        <is>
          <t>26 105107</t>
        </is>
      </c>
      <c r="E331" s="61" t="inlineStr">
        <is>
          <t>Check permit status</t>
        </is>
      </c>
      <c r="F331" s="59" t="inlineStr">
        <is>
          <t>Other</t>
        </is>
      </c>
      <c r="G331" s="59" t="inlineStr">
        <is>
          <t>Drain and Site Service</t>
        </is>
      </c>
      <c r="H331" s="59" t="inlineStr">
        <is>
          <t>SFD - Detached</t>
        </is>
      </c>
      <c r="I331" s="59" t="inlineStr">
        <is>
          <t>under inspection</t>
        </is>
      </c>
      <c r="J331" s="63" t="n">
        <v>46037</v>
      </c>
      <c r="K331" s="63" t="n">
        <v>46042</v>
      </c>
      <c r="L331" s="63" t="n"/>
      <c r="M331" s="70" t="n"/>
      <c r="N331" s="59" t="inlineStr">
        <is>
          <t>Not declared</t>
        </is>
      </c>
      <c r="O331" s="64" t="n"/>
      <c r="P331" s="59" t="n"/>
      <c r="Q331" s="65" t="inlineStr">
        <is>
          <t>Proposed Backwater Valve</t>
        </is>
      </c>
      <c r="R331" s="61" t="inlineStr">
        <is>
          <t>Map</t>
        </is>
      </c>
      <c r="S331" s="61" t="inlineStr">
        <is>
          <t>Raw data</t>
        </is>
      </c>
    </row>
    <row r="332" ht="29" customHeight="1">
      <c r="A332" s="59" t="inlineStr">
        <is>
          <t>65 Bristol Ave</t>
        </is>
      </c>
      <c r="B332" s="60" t="n">
        <v>206</v>
      </c>
      <c r="C332" s="59" t="inlineStr">
        <is>
          <t>1353 Davenport Rd</t>
        </is>
      </c>
      <c r="D332" s="59" t="inlineStr">
        <is>
          <t>18 185661</t>
        </is>
      </c>
      <c r="E332" s="61" t="inlineStr">
        <is>
          <t>Check permit status</t>
        </is>
      </c>
      <c r="F332" s="59" t="inlineStr">
        <is>
          <t>Addition or alteration</t>
        </is>
      </c>
      <c r="G332" s="59" t="inlineStr">
        <is>
          <t>Small Residential Projects</t>
        </is>
      </c>
      <c r="H332" s="59" t="inlineStr">
        <is>
          <t>3+ Unit - Semi-detached</t>
        </is>
      </c>
      <c r="I332" s="59" t="inlineStr">
        <is>
          <t>under inspection</t>
        </is>
      </c>
      <c r="J332" s="63" t="n">
        <v>43278</v>
      </c>
      <c r="K332" s="63" t="n">
        <v>44117</v>
      </c>
      <c r="L332" s="63" t="n"/>
      <c r="M332" s="70" t="n">
        <v>15000</v>
      </c>
      <c r="N332" s="59" t="n"/>
      <c r="O332" s="64" t="n"/>
      <c r="P332" s="59" t="n"/>
      <c r="Q332" s="65" t="inlineStr">
        <is>
          <t>Proposal for interior alterations to lawfully existing 3 unit semi-detached dwelling.</t>
        </is>
      </c>
      <c r="R332" s="61" t="inlineStr">
        <is>
          <t>Map</t>
        </is>
      </c>
      <c r="S332" s="61" t="inlineStr">
        <is>
          <t>Raw data</t>
        </is>
      </c>
    </row>
    <row r="333" ht="16" customHeight="1">
      <c r="A333" s="59" t="inlineStr">
        <is>
          <t>65 Bristol Ave</t>
        </is>
      </c>
      <c r="B333" s="60" t="n">
        <v>207</v>
      </c>
      <c r="C333" s="59" t="inlineStr">
        <is>
          <t>4 Chandos Ave</t>
        </is>
      </c>
      <c r="D333" s="59" t="inlineStr">
        <is>
          <t>08 213542</t>
        </is>
      </c>
      <c r="E333" s="61" t="inlineStr">
        <is>
          <t>Building records request</t>
        </is>
      </c>
      <c r="F333" s="59" t="inlineStr">
        <is>
          <t>Addition or alteration</t>
        </is>
      </c>
      <c r="G333" s="59" t="inlineStr">
        <is>
          <t>Small Residential Projects</t>
        </is>
      </c>
      <c r="H333" s="59" t="inlineStr">
        <is>
          <t>SFD - Townhouse</t>
        </is>
      </c>
      <c r="I333" s="59" t="inlineStr">
        <is>
          <t>cancelled</t>
        </is>
      </c>
      <c r="J333" s="63" t="n">
        <v>39737</v>
      </c>
      <c r="K333" s="63" t="n"/>
      <c r="L333" s="63" t="n">
        <v>43959</v>
      </c>
      <c r="M333" s="70" t="n">
        <v>3000</v>
      </c>
      <c r="N333" s="59" t="n"/>
      <c r="O333" s="64" t="n"/>
      <c r="P333" s="59" t="n"/>
      <c r="Q333" s="65" t="inlineStr">
        <is>
          <t>Covered patio to rear of rowhouse</t>
        </is>
      </c>
      <c r="R333" s="61" t="inlineStr">
        <is>
          <t>Map</t>
        </is>
      </c>
      <c r="S333" s="61" t="inlineStr">
        <is>
          <t>Raw data</t>
        </is>
      </c>
    </row>
    <row r="334" ht="16" customHeight="1">
      <c r="A334" s="59" t="inlineStr">
        <is>
          <t>65 Bristol Ave</t>
        </is>
      </c>
      <c r="B334" s="60" t="n">
        <v>207</v>
      </c>
      <c r="C334" s="59" t="inlineStr">
        <is>
          <t>1325 Davenport Rd</t>
        </is>
      </c>
      <c r="D334" s="59" t="inlineStr">
        <is>
          <t>14 103908</t>
        </is>
      </c>
      <c r="E334" s="61" t="inlineStr">
        <is>
          <t>Building records request</t>
        </is>
      </c>
      <c r="F334" s="59" t="inlineStr">
        <is>
          <t>Addition or alteration</t>
        </is>
      </c>
      <c r="G334" s="59" t="inlineStr">
        <is>
          <t>Small Residential Projects</t>
        </is>
      </c>
      <c r="H334" s="59" t="inlineStr">
        <is>
          <t>SFD - Detached</t>
        </is>
      </c>
      <c r="I334" s="59" t="inlineStr">
        <is>
          <t>closed</t>
        </is>
      </c>
      <c r="J334" s="63" t="n">
        <v>41652</v>
      </c>
      <c r="K334" s="63" t="n">
        <v>41665</v>
      </c>
      <c r="L334" s="63" t="n">
        <v>46157</v>
      </c>
      <c r="M334" s="70" t="n">
        <v>2000</v>
      </c>
      <c r="N334" s="59" t="n"/>
      <c r="O334" s="64" t="n"/>
      <c r="P334" s="59" t="n"/>
      <c r="Q334" s="65" t="inlineStr">
        <is>
          <t>remove load bearing wall replace with beam near kitchen on main floor</t>
        </is>
      </c>
      <c r="R334" s="61" t="inlineStr">
        <is>
          <t>Map</t>
        </is>
      </c>
      <c r="S334" s="61" t="inlineStr">
        <is>
          <t>Raw data</t>
        </is>
      </c>
    </row>
    <row r="335" ht="16" customHeight="1">
      <c r="A335" s="59" t="inlineStr">
        <is>
          <t>65 Bristol Ave</t>
        </is>
      </c>
      <c r="B335" s="60" t="n">
        <v>207</v>
      </c>
      <c r="C335" s="59" t="inlineStr">
        <is>
          <t>4 Chandos Ave</t>
        </is>
      </c>
      <c r="D335" s="59" t="inlineStr">
        <is>
          <t>22 176096</t>
        </is>
      </c>
      <c r="E335" s="61" t="inlineStr">
        <is>
          <t>Building records request</t>
        </is>
      </c>
      <c r="F335" s="59" t="inlineStr">
        <is>
          <t>Addition or alteration</t>
        </is>
      </c>
      <c r="G335" s="59" t="inlineStr">
        <is>
          <t>Small Residential Projects</t>
        </is>
      </c>
      <c r="H335" s="59" t="inlineStr">
        <is>
          <t>SFD - Semi-Detached</t>
        </is>
      </c>
      <c r="I335" s="59" t="inlineStr">
        <is>
          <t>closed</t>
        </is>
      </c>
      <c r="J335" s="63" t="n">
        <v>44755</v>
      </c>
      <c r="K335" s="63" t="n">
        <v>44763</v>
      </c>
      <c r="L335" s="63" t="n">
        <v>45345</v>
      </c>
      <c r="M335" s="70" t="n"/>
      <c r="N335" s="59" t="inlineStr">
        <is>
          <t>Unreliable (zero or out of band)</t>
        </is>
      </c>
      <c r="O335" s="64" t="n"/>
      <c r="P335" s="59" t="n"/>
      <c r="Q335" s="65" t="inlineStr">
        <is>
          <t>Adminstrative Party Wall permit for work relating to 2A Chandos Ave.</t>
        </is>
      </c>
      <c r="R335" s="61" t="inlineStr">
        <is>
          <t>Map</t>
        </is>
      </c>
      <c r="S335" s="61" t="inlineStr">
        <is>
          <t>Raw data</t>
        </is>
      </c>
    </row>
    <row r="336" ht="29" customHeight="1">
      <c r="A336" s="59" t="inlineStr">
        <is>
          <t>65 Bristol Ave</t>
        </is>
      </c>
      <c r="B336" s="60" t="n">
        <v>209</v>
      </c>
      <c r="C336" s="59" t="inlineStr">
        <is>
          <t>429 Bartlett Ave N</t>
        </is>
      </c>
      <c r="D336" s="59" t="inlineStr">
        <is>
          <t>26 206931</t>
        </is>
      </c>
      <c r="E336" s="61" t="inlineStr">
        <is>
          <t>Check permit status</t>
        </is>
      </c>
      <c r="F336" s="59" t="inlineStr">
        <is>
          <t>Addition or alteration</t>
        </is>
      </c>
      <c r="G336" s="59" t="inlineStr">
        <is>
          <t>Mechanical(MS); Small Residential Projects</t>
        </is>
      </c>
      <c r="H336" s="59" t="inlineStr">
        <is>
          <t>SFD - Detached</t>
        </is>
      </c>
      <c r="I336" s="59" t="inlineStr">
        <is>
          <t>issued</t>
        </is>
      </c>
      <c r="J336" s="63" t="n">
        <v>46239</v>
      </c>
      <c r="K336" s="63" t="n">
        <v>46246</v>
      </c>
      <c r="L336" s="63" t="n"/>
      <c r="M336" s="70" t="n">
        <v>30000</v>
      </c>
      <c r="N336" s="59" t="n"/>
      <c r="O336" s="64" t="n"/>
      <c r="P336" s="59" t="n"/>
      <c r="Q336" s="65" t="inlineStr">
        <is>
          <t>HVAC - Proposed Interior alteration, Load bearing wall removed between the main floor kitchen and dining room, living room and hallway.</t>
        </is>
      </c>
      <c r="R336" s="61" t="inlineStr">
        <is>
          <t>Map</t>
        </is>
      </c>
      <c r="S336" s="61" t="inlineStr">
        <is>
          <t>Raw data</t>
        </is>
      </c>
    </row>
    <row r="337" ht="29" customHeight="1">
      <c r="A337" s="59" t="inlineStr">
        <is>
          <t>65 Bristol Ave</t>
        </is>
      </c>
      <c r="B337" s="60" t="n">
        <v>210</v>
      </c>
      <c r="C337" s="59" t="inlineStr">
        <is>
          <t>1359 Davenport Rd</t>
        </is>
      </c>
      <c r="D337" s="59" t="inlineStr">
        <is>
          <t>16 204834</t>
        </is>
      </c>
      <c r="E337" s="61" t="inlineStr">
        <is>
          <t>Building records request</t>
        </is>
      </c>
      <c r="F337" s="59" t="inlineStr">
        <is>
          <t>Addition or alteration</t>
        </is>
      </c>
      <c r="G337" s="59" t="inlineStr">
        <is>
          <t>Building Additions/Alterations; Mechanical(MS); Plumbing(PS)</t>
        </is>
      </c>
      <c r="H337" s="59" t="inlineStr">
        <is>
          <t>Restaurant 30 Seats or Less</t>
        </is>
      </c>
      <c r="I337" s="59" t="inlineStr">
        <is>
          <t>cancelled</t>
        </is>
      </c>
      <c r="J337" s="63" t="n">
        <v>42592</v>
      </c>
      <c r="K337" s="63" t="n">
        <v>42692</v>
      </c>
      <c r="L337" s="63" t="n">
        <v>43206</v>
      </c>
      <c r="M337" s="70" t="n">
        <v>50000</v>
      </c>
      <c r="N337" s="59" t="n"/>
      <c r="O337" s="64" t="n"/>
      <c r="P337" s="59" t="n"/>
      <c r="Q337" s="65" t="inlineStr">
        <is>
          <t>Plumbing - Proposal for new interior alterations to 1st floor including new plumbing and electrical work to existing restaurant.</t>
        </is>
      </c>
      <c r="R337" s="61" t="inlineStr">
        <is>
          <t>Map</t>
        </is>
      </c>
      <c r="S337" s="61" t="inlineStr">
        <is>
          <t>Raw data</t>
        </is>
      </c>
    </row>
    <row r="338" ht="16" customHeight="1">
      <c r="A338" s="59" t="inlineStr">
        <is>
          <t>65 Bristol Ave</t>
        </is>
      </c>
      <c r="B338" s="60" t="n">
        <v>212</v>
      </c>
      <c r="C338" s="59" t="inlineStr">
        <is>
          <t>451 Salem Ave N</t>
        </is>
      </c>
      <c r="D338" s="59" t="inlineStr">
        <is>
          <t>10 205044</t>
        </is>
      </c>
      <c r="E338" s="61" t="inlineStr">
        <is>
          <t>Building records request</t>
        </is>
      </c>
      <c r="F338" s="59" t="inlineStr">
        <is>
          <t>Addition or alteration</t>
        </is>
      </c>
      <c r="G338" s="59" t="inlineStr">
        <is>
          <t>Small Residential Projects</t>
        </is>
      </c>
      <c r="H338" s="59" t="inlineStr">
        <is>
          <t>SFD - Detached</t>
        </is>
      </c>
      <c r="I338" s="59" t="inlineStr">
        <is>
          <t>closed</t>
        </is>
      </c>
      <c r="J338" s="63" t="n">
        <v>40353</v>
      </c>
      <c r="K338" s="63" t="n">
        <v>40353</v>
      </c>
      <c r="L338" s="63" t="n">
        <v>43102</v>
      </c>
      <c r="M338" s="70" t="n"/>
      <c r="N338" s="59" t="inlineStr">
        <is>
          <t>Unreliable (zero or out of band)</t>
        </is>
      </c>
      <c r="O338" s="64" t="n"/>
      <c r="P338" s="59" t="n"/>
      <c r="Q338" s="65" t="inlineStr">
        <is>
          <t>Admin folder to 10-188591(party wall)</t>
        </is>
      </c>
      <c r="R338" s="61" t="inlineStr">
        <is>
          <t>Map</t>
        </is>
      </c>
      <c r="S338" s="61" t="inlineStr">
        <is>
          <t>Raw data</t>
        </is>
      </c>
    </row>
    <row r="339" ht="16" customHeight="1">
      <c r="A339" s="59" t="inlineStr">
        <is>
          <t>65 Bristol Ave</t>
        </is>
      </c>
      <c r="B339" s="60" t="n">
        <v>213</v>
      </c>
      <c r="C339" s="59" t="inlineStr">
        <is>
          <t>449 Salem Ave N</t>
        </is>
      </c>
      <c r="D339" s="59" t="inlineStr">
        <is>
          <t>06 181614</t>
        </is>
      </c>
      <c r="E339" s="61" t="inlineStr">
        <is>
          <t>Building records request</t>
        </is>
      </c>
      <c r="F339" s="59" t="inlineStr">
        <is>
          <t>Addition or alteration</t>
        </is>
      </c>
      <c r="G339" s="59" t="inlineStr">
        <is>
          <t>Small Residential Projects</t>
        </is>
      </c>
      <c r="H339" s="59" t="inlineStr">
        <is>
          <t>SFD - Semi-Detached</t>
        </is>
      </c>
      <c r="I339" s="59" t="inlineStr">
        <is>
          <t>closed</t>
        </is>
      </c>
      <c r="J339" s="63" t="n">
        <v>38994</v>
      </c>
      <c r="K339" s="63" t="n">
        <v>38994</v>
      </c>
      <c r="L339" s="63" t="n">
        <v>43102</v>
      </c>
      <c r="M339" s="70" t="n">
        <v>5000</v>
      </c>
      <c r="N339" s="59" t="n"/>
      <c r="O339" s="64" t="n"/>
      <c r="P339" s="59" t="n"/>
      <c r="Q339" s="65" t="inlineStr">
        <is>
          <t>Underpin partywall (in conjunction with permit 06-181611).</t>
        </is>
      </c>
      <c r="R339" s="61" t="inlineStr">
        <is>
          <t>Map</t>
        </is>
      </c>
      <c r="S339" s="61" t="inlineStr">
        <is>
          <t>Raw data</t>
        </is>
      </c>
    </row>
    <row r="340" ht="29" customHeight="1">
      <c r="A340" s="59" t="inlineStr">
        <is>
          <t>65 Bristol Ave</t>
        </is>
      </c>
      <c r="B340" s="60" t="n">
        <v>213</v>
      </c>
      <c r="C340" s="59" t="inlineStr">
        <is>
          <t>449 Salem Ave N</t>
        </is>
      </c>
      <c r="D340" s="59" t="inlineStr">
        <is>
          <t>10 188591</t>
        </is>
      </c>
      <c r="E340" s="61" t="inlineStr">
        <is>
          <t>Building records request</t>
        </is>
      </c>
      <c r="F340" s="59" t="inlineStr">
        <is>
          <t>Other</t>
        </is>
      </c>
      <c r="G340" s="59" t="inlineStr">
        <is>
          <t>Plumbing(PS)</t>
        </is>
      </c>
      <c r="H340" s="59" t="inlineStr">
        <is>
          <t>SFD - Detached</t>
        </is>
      </c>
      <c r="I340" s="59" t="inlineStr">
        <is>
          <t>closed</t>
        </is>
      </c>
      <c r="J340" s="63" t="n">
        <v>40332</v>
      </c>
      <c r="K340" s="63" t="n">
        <v>40353</v>
      </c>
      <c r="L340" s="63" t="n">
        <v>43102</v>
      </c>
      <c r="M340" s="70" t="n"/>
      <c r="N340" s="59" t="inlineStr">
        <is>
          <t>Not declared</t>
        </is>
      </c>
      <c r="O340" s="64" t="n"/>
      <c r="P340" s="59" t="n"/>
      <c r="Q340" s="65" t="inlineStr">
        <is>
          <t>Plumbing - proposed second storey rear addition/verandah /basement alterations and underpin as approved by committee of adjustment</t>
        </is>
      </c>
      <c r="R340" s="61" t="inlineStr">
        <is>
          <t>Map</t>
        </is>
      </c>
      <c r="S340" s="61" t="inlineStr">
        <is>
          <t>Raw data</t>
        </is>
      </c>
    </row>
    <row r="341" ht="29" customHeight="1">
      <c r="A341" s="59" t="inlineStr">
        <is>
          <t>65 Bristol Ave</t>
        </is>
      </c>
      <c r="B341" s="60" t="n">
        <v>215</v>
      </c>
      <c r="C341" s="59" t="inlineStr">
        <is>
          <t>439 Salem Ave N</t>
        </is>
      </c>
      <c r="D341" s="59" t="inlineStr">
        <is>
          <t>26 213315</t>
        </is>
      </c>
      <c r="E341" s="61" t="inlineStr">
        <is>
          <t>Check permit status</t>
        </is>
      </c>
      <c r="F341" s="59" t="inlineStr">
        <is>
          <t>Other</t>
        </is>
      </c>
      <c r="G341" s="59" t="inlineStr">
        <is>
          <t>Drain and Site Service</t>
        </is>
      </c>
      <c r="H341" s="59" t="inlineStr">
        <is>
          <t>SFD - Detached</t>
        </is>
      </c>
      <c r="I341" s="59" t="inlineStr">
        <is>
          <t>closed</t>
        </is>
      </c>
      <c r="J341" s="63" t="n">
        <v>46238</v>
      </c>
      <c r="K341" s="63" t="n">
        <v>46239</v>
      </c>
      <c r="L341" s="63" t="n">
        <v>46279</v>
      </c>
      <c r="M341" s="70" t="n">
        <v>40000</v>
      </c>
      <c r="N341" s="59" t="n"/>
      <c r="O341" s="64" t="n"/>
      <c r="P341" s="59" t="n"/>
      <c r="Q341" s="65" t="inlineStr">
        <is>
          <t>Proposed replacement of interior and exterior floor drains in a single dwelling unit to do damage. Installation of a back-water valve</t>
        </is>
      </c>
      <c r="R341" s="61" t="inlineStr">
        <is>
          <t>Map</t>
        </is>
      </c>
      <c r="S341" s="61" t="inlineStr">
        <is>
          <t>Raw data</t>
        </is>
      </c>
    </row>
    <row r="342" ht="29" customHeight="1">
      <c r="A342" s="59" t="inlineStr">
        <is>
          <t>65 Bristol Ave</t>
        </is>
      </c>
      <c r="B342" s="60" t="n">
        <v>218</v>
      </c>
      <c r="C342" s="59" t="inlineStr">
        <is>
          <t>433 Salem Ave N</t>
        </is>
      </c>
      <c r="D342" s="59" t="inlineStr">
        <is>
          <t>18 236811</t>
        </is>
      </c>
      <c r="E342" s="61" t="inlineStr">
        <is>
          <t>Building records request</t>
        </is>
      </c>
      <c r="F342" s="59" t="inlineStr">
        <is>
          <t>Addition or alteration</t>
        </is>
      </c>
      <c r="G342" s="59" t="inlineStr">
        <is>
          <t>Small Residential Projects</t>
        </is>
      </c>
      <c r="H342" s="59" t="inlineStr">
        <is>
          <t>SFD - Detached</t>
        </is>
      </c>
      <c r="I342" s="59" t="inlineStr">
        <is>
          <t>closed</t>
        </is>
      </c>
      <c r="J342" s="63" t="n">
        <v>43376</v>
      </c>
      <c r="K342" s="63" t="n">
        <v>43383</v>
      </c>
      <c r="L342" s="63" t="n">
        <v>43668</v>
      </c>
      <c r="M342" s="70" t="n">
        <v>5000</v>
      </c>
      <c r="N342" s="59" t="n"/>
      <c r="O342" s="64" t="n"/>
      <c r="P342" s="59" t="n"/>
      <c r="Q342" s="65" t="inlineStr">
        <is>
          <t>Proposal to construct new second floor balcony over existing rear porch.</t>
        </is>
      </c>
      <c r="R342" s="61" t="inlineStr">
        <is>
          <t>Map</t>
        </is>
      </c>
      <c r="S342" s="61" t="inlineStr">
        <is>
          <t>Raw data</t>
        </is>
      </c>
    </row>
    <row r="343" ht="42" customHeight="1">
      <c r="A343" s="59" t="inlineStr">
        <is>
          <t>65 Bristol Ave</t>
        </is>
      </c>
      <c r="B343" s="60" t="n">
        <v>219</v>
      </c>
      <c r="C343" s="59" t="inlineStr">
        <is>
          <t>431 Salem Ave N</t>
        </is>
      </c>
      <c r="D343" s="59" t="inlineStr">
        <is>
          <t>08 185789</t>
        </is>
      </c>
      <c r="E343" s="61" t="inlineStr">
        <is>
          <t>Check permit status</t>
        </is>
      </c>
      <c r="F343" s="59" t="inlineStr">
        <is>
          <t>Addition or alteration</t>
        </is>
      </c>
      <c r="G343" s="59" t="inlineStr">
        <is>
          <t>Mechanical(MS); Plumbing(PS); Small Residential Projects</t>
        </is>
      </c>
      <c r="H343" s="59" t="inlineStr">
        <is>
          <t>SFD - Detached</t>
        </is>
      </c>
      <c r="I343" s="59" t="inlineStr">
        <is>
          <t>closed</t>
        </is>
      </c>
      <c r="J343" s="63" t="n">
        <v>39665</v>
      </c>
      <c r="K343" s="63" t="n">
        <v>39678</v>
      </c>
      <c r="L343" s="63" t="n">
        <v>46279</v>
      </c>
      <c r="M343" s="70" t="n">
        <v>50000</v>
      </c>
      <c r="N343" s="59" t="n"/>
      <c r="O343" s="64" t="n"/>
      <c r="P343" s="59" t="n"/>
      <c r="Q343" s="65" t="inlineStr">
        <is>
          <t>Plumbing - To replace the existing rear deck with new stair and landing, new roof above existing porch at front, new stair at front and interior alterations</t>
        </is>
      </c>
      <c r="R343" s="61" t="inlineStr">
        <is>
          <t>Map</t>
        </is>
      </c>
      <c r="S343" s="61" t="inlineStr">
        <is>
          <t>Raw data</t>
        </is>
      </c>
    </row>
    <row r="344" ht="16" customHeight="1">
      <c r="A344" s="59" t="inlineStr">
        <is>
          <t>65 Bristol Ave</t>
        </is>
      </c>
      <c r="B344" s="60" t="n">
        <v>219</v>
      </c>
      <c r="C344" s="59" t="inlineStr">
        <is>
          <t>203 Geary Ave</t>
        </is>
      </c>
      <c r="D344" s="59" t="inlineStr">
        <is>
          <t>15 227472</t>
        </is>
      </c>
      <c r="E344" s="61" t="inlineStr">
        <is>
          <t>Building records request</t>
        </is>
      </c>
      <c r="F344" s="59" t="inlineStr">
        <is>
          <t>Other</t>
        </is>
      </c>
      <c r="G344" s="59" t="inlineStr">
        <is>
          <t>Plumbing(PS)</t>
        </is>
      </c>
      <c r="H344" s="59" t="inlineStr">
        <is>
          <t>Other</t>
        </is>
      </c>
      <c r="I344" s="59" t="inlineStr">
        <is>
          <t>issued</t>
        </is>
      </c>
      <c r="J344" s="63" t="n">
        <v>42270</v>
      </c>
      <c r="K344" s="63" t="n">
        <v>42310</v>
      </c>
      <c r="L344" s="63" t="n"/>
      <c r="M344" s="70" t="n"/>
      <c r="N344" s="59" t="inlineStr">
        <is>
          <t>Unreliable (zero or out of band)</t>
        </is>
      </c>
      <c r="O344" s="64" t="n"/>
      <c r="P344" s="59" t="n"/>
      <c r="Q344" s="65" t="inlineStr">
        <is>
          <t>To install a back flow prevention device</t>
        </is>
      </c>
      <c r="R344" s="61" t="inlineStr">
        <is>
          <t>Map</t>
        </is>
      </c>
      <c r="S344" s="61" t="inlineStr">
        <is>
          <t>Raw data</t>
        </is>
      </c>
    </row>
    <row r="345" ht="29" customHeight="1">
      <c r="A345" s="59" t="inlineStr">
        <is>
          <t>65 Bristol Ave</t>
        </is>
      </c>
      <c r="B345" s="60" t="n">
        <v>219</v>
      </c>
      <c r="C345" s="59" t="inlineStr">
        <is>
          <t>197 Geary Ave</t>
        </is>
      </c>
      <c r="D345" s="59" t="inlineStr">
        <is>
          <t>21 200788</t>
        </is>
      </c>
      <c r="E345" s="61" t="inlineStr">
        <is>
          <t>Building records request</t>
        </is>
      </c>
      <c r="F345" s="59" t="inlineStr">
        <is>
          <t>Addition or alteration</t>
        </is>
      </c>
      <c r="G345" s="59" t="inlineStr">
        <is>
          <t>Building Additions/Alterations</t>
        </is>
      </c>
      <c r="H345" s="59" t="inlineStr">
        <is>
          <t>Industrial</t>
        </is>
      </c>
      <c r="I345" s="59" t="inlineStr">
        <is>
          <t>closed</t>
        </is>
      </c>
      <c r="J345" s="63" t="n">
        <v>44426</v>
      </c>
      <c r="K345" s="63" t="n">
        <v>44490</v>
      </c>
      <c r="L345" s="63" t="n">
        <v>45331</v>
      </c>
      <c r="M345" s="70" t="n"/>
      <c r="N345" s="59" t="inlineStr">
        <is>
          <t>Unreliable (zero or out of band)</t>
        </is>
      </c>
      <c r="O345" s="64" t="n"/>
      <c r="P345" s="59" t="n"/>
      <c r="Q345" s="65" t="inlineStr">
        <is>
          <t>Party wall admin permit for the work a t 195 Geary Ave - building permit 21 194581</t>
        </is>
      </c>
      <c r="R345" s="61" t="inlineStr">
        <is>
          <t>Map</t>
        </is>
      </c>
      <c r="S345" s="61" t="inlineStr">
        <is>
          <t>Raw data</t>
        </is>
      </c>
    </row>
    <row r="346" ht="16" customHeight="1">
      <c r="A346" s="59" t="inlineStr">
        <is>
          <t>65 Bristol Ave</t>
        </is>
      </c>
      <c r="B346" s="60" t="n">
        <v>219</v>
      </c>
      <c r="C346" s="59" t="inlineStr">
        <is>
          <t>201 Geary Ave</t>
        </is>
      </c>
      <c r="D346" s="59" t="inlineStr">
        <is>
          <t>22 138870</t>
        </is>
      </c>
      <c r="E346" s="61" t="inlineStr">
        <is>
          <t>Building records request</t>
        </is>
      </c>
      <c r="F346" s="59" t="inlineStr">
        <is>
          <t>Addition or alteration</t>
        </is>
      </c>
      <c r="G346" s="59" t="inlineStr">
        <is>
          <t>Building Additions/Alterations</t>
        </is>
      </c>
      <c r="H346" s="59" t="inlineStr">
        <is>
          <t>Restaurant Greater Than 30 Seats</t>
        </is>
      </c>
      <c r="I346" s="59" t="inlineStr">
        <is>
          <t>closed</t>
        </is>
      </c>
      <c r="J346" s="63" t="n">
        <v>44678</v>
      </c>
      <c r="K346" s="63" t="n">
        <v>44707</v>
      </c>
      <c r="L346" s="63" t="n">
        <v>44777</v>
      </c>
      <c r="M346" s="70" t="n">
        <v>50000</v>
      </c>
      <c r="N346" s="59" t="n"/>
      <c r="O346" s="64" t="n"/>
      <c r="P346" s="59" t="n"/>
      <c r="Q346" s="65" t="inlineStr">
        <is>
          <t>Proposal for a restaurant within existing bakery.</t>
        </is>
      </c>
      <c r="R346" s="61" t="inlineStr">
        <is>
          <t>Map</t>
        </is>
      </c>
      <c r="S346" s="61" t="inlineStr">
        <is>
          <t>Raw data</t>
        </is>
      </c>
    </row>
    <row r="347" ht="29" customHeight="1">
      <c r="A347" s="59" t="inlineStr">
        <is>
          <t>65 Bristol Ave</t>
        </is>
      </c>
      <c r="B347" s="60" t="n">
        <v>219</v>
      </c>
      <c r="C347" s="59" t="inlineStr">
        <is>
          <t>201 Geary Ave</t>
        </is>
      </c>
      <c r="D347" s="59" t="inlineStr">
        <is>
          <t>23 118452</t>
        </is>
      </c>
      <c r="E347" s="61" t="inlineStr">
        <is>
          <t>Building records request</t>
        </is>
      </c>
      <c r="F347" s="59" t="inlineStr">
        <is>
          <t>Other</t>
        </is>
      </c>
      <c r="G347" s="59" t="inlineStr">
        <is>
          <t>Drain and Site Service</t>
        </is>
      </c>
      <c r="H347" s="59" t="inlineStr">
        <is>
          <t>Restaurant Greater Than 30 Seats</t>
        </is>
      </c>
      <c r="I347" s="59" t="inlineStr">
        <is>
          <t>closed</t>
        </is>
      </c>
      <c r="J347" s="63" t="n">
        <v>44985</v>
      </c>
      <c r="K347" s="63" t="n">
        <v>45022</v>
      </c>
      <c r="L347" s="63" t="n">
        <v>45520</v>
      </c>
      <c r="M347" s="70" t="n">
        <v>20000</v>
      </c>
      <c r="N347" s="59" t="n"/>
      <c r="O347" s="64" t="n"/>
      <c r="P347" s="59" t="n"/>
      <c r="Q347" s="65" t="inlineStr">
        <is>
          <t>Domestic water service upgrade from 25mm to 50 mm diameter. Contract to cap existing water service.</t>
        </is>
      </c>
      <c r="R347" s="61" t="inlineStr">
        <is>
          <t>Map</t>
        </is>
      </c>
      <c r="S347" s="61" t="inlineStr">
        <is>
          <t>Raw data</t>
        </is>
      </c>
    </row>
    <row r="348" ht="29" customHeight="1">
      <c r="A348" s="59" t="inlineStr">
        <is>
          <t>65 Bristol Ave</t>
        </is>
      </c>
      <c r="B348" s="60" t="n">
        <v>219</v>
      </c>
      <c r="C348" s="59" t="inlineStr">
        <is>
          <t>201 Geary Ave</t>
        </is>
      </c>
      <c r="D348" s="59" t="inlineStr">
        <is>
          <t>23 121281</t>
        </is>
      </c>
      <c r="E348" s="61" t="inlineStr">
        <is>
          <t>Building records request</t>
        </is>
      </c>
      <c r="F348" s="59" t="inlineStr">
        <is>
          <t>Addition or alteration</t>
        </is>
      </c>
      <c r="G348" s="59" t="inlineStr">
        <is>
          <t>Building Additions/Alterations; Mechanical(MS); Plumbing(PS)</t>
        </is>
      </c>
      <c r="H348" s="59" t="inlineStr">
        <is>
          <t>Restaurant Greater Than 30 Seats</t>
        </is>
      </c>
      <c r="I348" s="59" t="inlineStr">
        <is>
          <t>closed</t>
        </is>
      </c>
      <c r="J348" s="63" t="n">
        <v>44993</v>
      </c>
      <c r="K348" s="63" t="n">
        <v>45043</v>
      </c>
      <c r="L348" s="63" t="n">
        <v>45518</v>
      </c>
      <c r="M348" s="70" t="n">
        <v>750000</v>
      </c>
      <c r="N348" s="59" t="n"/>
      <c r="O348" s="64" t="n"/>
      <c r="P348" s="59" t="n"/>
      <c r="Q348" s="65" t="inlineStr">
        <is>
          <t>Plumbing - Renovation of existing building to create new restaurant. New storage Mezannine</t>
        </is>
      </c>
      <c r="R348" s="61" t="inlineStr">
        <is>
          <t>Map</t>
        </is>
      </c>
      <c r="S348" s="61" t="inlineStr">
        <is>
          <t>Raw data</t>
        </is>
      </c>
    </row>
    <row r="349" ht="29" customHeight="1">
      <c r="A349" s="59" t="inlineStr">
        <is>
          <t>65 Bristol Ave</t>
        </is>
      </c>
      <c r="B349" s="60" t="n">
        <v>220</v>
      </c>
      <c r="C349" s="59" t="inlineStr">
        <is>
          <t>1481 Dufferin St</t>
        </is>
      </c>
      <c r="D349" s="59" t="inlineStr">
        <is>
          <t>02 136535</t>
        </is>
      </c>
      <c r="E349" s="61" t="inlineStr">
        <is>
          <t>Building records request</t>
        </is>
      </c>
      <c r="F349" s="59" t="inlineStr">
        <is>
          <t>Other</t>
        </is>
      </c>
      <c r="G349" s="59" t="inlineStr">
        <is>
          <t>Temporary Structures</t>
        </is>
      </c>
      <c r="H349" s="59" t="inlineStr">
        <is>
          <t>Other</t>
        </is>
      </c>
      <c r="I349" s="59" t="inlineStr">
        <is>
          <t>closed</t>
        </is>
      </c>
      <c r="J349" s="63" t="n">
        <v>37392</v>
      </c>
      <c r="K349" s="63" t="n">
        <v>37407</v>
      </c>
      <c r="L349" s="63" t="n">
        <v>45867</v>
      </c>
      <c r="M349" s="70" t="n"/>
      <c r="N349" s="59" t="inlineStr">
        <is>
          <t>Not declared</t>
        </is>
      </c>
      <c r="O349" s="64" t="n"/>
      <c r="P349" s="59" t="n"/>
      <c r="Q349" s="65" t="inlineStr">
        <is>
          <t>Erect one temporary tent structure to be erected June 28/02 and dismantled July 1/02.30' x 60' - Certification no. 02 - 55015</t>
        </is>
      </c>
      <c r="R349" s="61" t="inlineStr">
        <is>
          <t>Map</t>
        </is>
      </c>
      <c r="S349" s="61" t="inlineStr">
        <is>
          <t>Raw data</t>
        </is>
      </c>
    </row>
    <row r="350" ht="29" customHeight="1">
      <c r="A350" s="59" t="inlineStr">
        <is>
          <t>65 Bristol Ave</t>
        </is>
      </c>
      <c r="B350" s="60" t="n">
        <v>220</v>
      </c>
      <c r="C350" s="59" t="inlineStr">
        <is>
          <t>195 Geary Ave</t>
        </is>
      </c>
      <c r="D350" s="59" t="inlineStr">
        <is>
          <t>21 194581</t>
        </is>
      </c>
      <c r="E350" s="61" t="inlineStr">
        <is>
          <t>Building records request</t>
        </is>
      </c>
      <c r="F350" s="59" t="inlineStr">
        <is>
          <t>Addition or alteration</t>
        </is>
      </c>
      <c r="G350" s="59" t="inlineStr">
        <is>
          <t>Building Additions/Alterations</t>
        </is>
      </c>
      <c r="H350" s="59" t="inlineStr">
        <is>
          <t>Industrial</t>
        </is>
      </c>
      <c r="I350" s="59" t="inlineStr">
        <is>
          <t>closed</t>
        </is>
      </c>
      <c r="J350" s="63" t="n">
        <v>44414</v>
      </c>
      <c r="K350" s="63" t="n">
        <v>44491</v>
      </c>
      <c r="L350" s="63" t="n">
        <v>44712</v>
      </c>
      <c r="M350" s="70" t="n">
        <v>75000</v>
      </c>
      <c r="N350" s="59" t="n"/>
      <c r="O350" s="64" t="n"/>
      <c r="P350" s="59" t="n"/>
      <c r="Q350" s="65" t="inlineStr">
        <is>
          <t>Proposed interior alterations and extend second floor (mezzanine) &amp; rebuild interior stairs. Custom workshop &amp; office.</t>
        </is>
      </c>
      <c r="R350" s="61" t="inlineStr">
        <is>
          <t>Map</t>
        </is>
      </c>
      <c r="S350" s="61" t="inlineStr">
        <is>
          <t>Raw data</t>
        </is>
      </c>
    </row>
    <row r="351" ht="29" customHeight="1">
      <c r="A351" s="59" t="inlineStr">
        <is>
          <t>65 Bristol Ave</t>
        </is>
      </c>
      <c r="B351" s="60" t="n">
        <v>220</v>
      </c>
      <c r="C351" s="59" t="inlineStr">
        <is>
          <t>195 Geary Ave</t>
        </is>
      </c>
      <c r="D351" s="59" t="inlineStr">
        <is>
          <t>22 100013</t>
        </is>
      </c>
      <c r="E351" s="61" t="inlineStr">
        <is>
          <t>Building records request</t>
        </is>
      </c>
      <c r="F351" s="59" t="inlineStr">
        <is>
          <t>Addition or alteration</t>
        </is>
      </c>
      <c r="G351" s="59" t="inlineStr">
        <is>
          <t>Building Additions/Alterations; Mechanical(MS); Plumbing(PS)</t>
        </is>
      </c>
      <c r="H351" s="59" t="inlineStr">
        <is>
          <t>Industrial Processing Plant</t>
        </is>
      </c>
      <c r="I351" s="59" t="inlineStr">
        <is>
          <t>closed</t>
        </is>
      </c>
      <c r="J351" s="63" t="n">
        <v>44562</v>
      </c>
      <c r="K351" s="63" t="n">
        <v>44803</v>
      </c>
      <c r="L351" s="63" t="n">
        <v>46163</v>
      </c>
      <c r="M351" s="70" t="n">
        <v>175460</v>
      </c>
      <c r="N351" s="59" t="n"/>
      <c r="O351" s="64" t="n"/>
      <c r="P351" s="59" t="n"/>
      <c r="Q351" s="65" t="inlineStr">
        <is>
          <t>Interior alterations to architectural floor layout, HVAC, plumbing and kitchen exhaust system for new meat processing &amp; retail butcher shop.</t>
        </is>
      </c>
      <c r="R351" s="61" t="inlineStr">
        <is>
          <t>Map</t>
        </is>
      </c>
      <c r="S351" s="61" t="inlineStr">
        <is>
          <t>Raw data</t>
        </is>
      </c>
    </row>
    <row r="352" ht="29" customHeight="1">
      <c r="A352" s="59" t="inlineStr">
        <is>
          <t>65 Bristol Ave</t>
        </is>
      </c>
      <c r="B352" s="60" t="n">
        <v>220</v>
      </c>
      <c r="C352" s="59" t="inlineStr">
        <is>
          <t>514 Salem Ave N</t>
        </is>
      </c>
      <c r="D352" s="59" t="inlineStr">
        <is>
          <t>22 207806</t>
        </is>
      </c>
      <c r="E352" s="61" t="inlineStr">
        <is>
          <t>Building records request</t>
        </is>
      </c>
      <c r="F352" s="59" t="inlineStr">
        <is>
          <t>Addition or alteration</t>
        </is>
      </c>
      <c r="G352" s="59" t="inlineStr">
        <is>
          <t>Plumbing(PS); Small Residential Projects; Drain and Site Service</t>
        </is>
      </c>
      <c r="H352" s="59" t="inlineStr">
        <is>
          <t>SFD - Semi-Detached</t>
        </is>
      </c>
      <c r="I352" s="59" t="inlineStr">
        <is>
          <t>closed</t>
        </is>
      </c>
      <c r="J352" s="63" t="n">
        <v>44827</v>
      </c>
      <c r="K352" s="63" t="n">
        <v>45013</v>
      </c>
      <c r="L352" s="63" t="n">
        <v>45230</v>
      </c>
      <c r="M352" s="70" t="n">
        <v>15000</v>
      </c>
      <c r="N352" s="59" t="n"/>
      <c r="O352" s="64" t="n"/>
      <c r="P352" s="59" t="n"/>
      <c r="Q352" s="65" t="inlineStr">
        <is>
          <t>Plumbing - Proposal to underpin, interior alterations in the basement and reconstruct the basement walkout in an existing SFD-semi dwelling.</t>
        </is>
      </c>
      <c r="R352" s="61" t="inlineStr">
        <is>
          <t>Map</t>
        </is>
      </c>
      <c r="S352" s="61" t="inlineStr">
        <is>
          <t>Raw data</t>
        </is>
      </c>
    </row>
    <row r="353" ht="42" customHeight="1">
      <c r="A353" s="59" t="inlineStr">
        <is>
          <t>65 Bristol Ave</t>
        </is>
      </c>
      <c r="B353" s="60" t="n">
        <v>220</v>
      </c>
      <c r="C353" s="59" t="inlineStr">
        <is>
          <t>195 Geary Ave</t>
        </is>
      </c>
      <c r="D353" s="59" t="inlineStr">
        <is>
          <t>24 170610</t>
        </is>
      </c>
      <c r="E353" s="61" t="inlineStr">
        <is>
          <t>Check permit status</t>
        </is>
      </c>
      <c r="F353" s="59" t="inlineStr">
        <is>
          <t>Addition or alteration</t>
        </is>
      </c>
      <c r="G353" s="59" t="inlineStr">
        <is>
          <t>Building Additions/Alterations</t>
        </is>
      </c>
      <c r="H353" s="59" t="inlineStr">
        <is>
          <t>Restaurant 30 Seats or Less</t>
        </is>
      </c>
      <c r="I353" s="59" t="inlineStr">
        <is>
          <t>issued</t>
        </is>
      </c>
      <c r="J353" s="63" t="n">
        <v>45469</v>
      </c>
      <c r="K353" s="63" t="n">
        <v>45485</v>
      </c>
      <c r="L353" s="63" t="n"/>
      <c r="M353" s="70" t="n">
        <v>95000</v>
      </c>
      <c r="N353" s="59" t="n"/>
      <c r="O353" s="64" t="n"/>
      <c r="P353" s="59" t="n"/>
      <c r="Q353" s="65" t="inlineStr">
        <is>
          <t>Interior alterations to addition of 2 unisex washrooms on 2nd floor, and new barrier free ramp on ground floor to access patio. Restaurant on 2nd floor.</t>
        </is>
      </c>
      <c r="R353" s="61" t="inlineStr">
        <is>
          <t>Map</t>
        </is>
      </c>
      <c r="S353" s="61" t="inlineStr">
        <is>
          <t>Raw data</t>
        </is>
      </c>
    </row>
    <row r="354" ht="29" customHeight="1">
      <c r="A354" s="59" t="inlineStr">
        <is>
          <t>65 Bristol Ave</t>
        </is>
      </c>
      <c r="B354" s="60" t="n">
        <v>221</v>
      </c>
      <c r="C354" s="59" t="inlineStr">
        <is>
          <t>193 Geary Ave</t>
        </is>
      </c>
      <c r="D354" s="59" t="inlineStr">
        <is>
          <t>16 125390</t>
        </is>
      </c>
      <c r="E354" s="61" t="inlineStr">
        <is>
          <t>Building records request</t>
        </is>
      </c>
      <c r="F354" s="59" t="inlineStr">
        <is>
          <t>Other</t>
        </is>
      </c>
      <c r="G354" s="59" t="inlineStr">
        <is>
          <t>Plumbing(PS)</t>
        </is>
      </c>
      <c r="H354" s="59" t="inlineStr">
        <is>
          <t>Industrial</t>
        </is>
      </c>
      <c r="I354" s="59" t="inlineStr">
        <is>
          <t>issued</t>
        </is>
      </c>
      <c r="J354" s="63" t="n">
        <v>42438</v>
      </c>
      <c r="K354" s="63" t="n">
        <v>42475</v>
      </c>
      <c r="L354" s="63" t="n"/>
      <c r="M354" s="70" t="n"/>
      <c r="N354" s="59" t="inlineStr">
        <is>
          <t>Unreliable (zero or out of band)</t>
        </is>
      </c>
      <c r="O354" s="64" t="n"/>
      <c r="P354" s="59" t="n"/>
      <c r="Q354" s="65" t="inlineStr">
        <is>
          <t>Installation of one premise isolation backflow preventer for Lisgar Motors.</t>
        </is>
      </c>
      <c r="R354" s="61" t="inlineStr">
        <is>
          <t>Map</t>
        </is>
      </c>
      <c r="S354" s="61" t="inlineStr">
        <is>
          <t>Raw data</t>
        </is>
      </c>
    </row>
    <row r="355" ht="29" customHeight="1">
      <c r="A355" s="59" t="inlineStr">
        <is>
          <t>65 Bristol Ave</t>
        </is>
      </c>
      <c r="B355" s="60" t="n">
        <v>221</v>
      </c>
      <c r="C355" s="59" t="inlineStr">
        <is>
          <t>207 Geary Ave</t>
        </is>
      </c>
      <c r="D355" s="59" t="inlineStr">
        <is>
          <t>16 140363</t>
        </is>
      </c>
      <c r="E355" s="61" t="inlineStr">
        <is>
          <t>Building records request</t>
        </is>
      </c>
      <c r="F355" s="59" t="inlineStr">
        <is>
          <t>Other</t>
        </is>
      </c>
      <c r="G355" s="59" t="inlineStr">
        <is>
          <t>Plumbing(PS)</t>
        </is>
      </c>
      <c r="H355" s="59" t="inlineStr">
        <is>
          <t>Repair Garage</t>
        </is>
      </c>
      <c r="I355" s="59" t="inlineStr">
        <is>
          <t>revocation pending</t>
        </is>
      </c>
      <c r="J355" s="63" t="n">
        <v>42474</v>
      </c>
      <c r="K355" s="63" t="n">
        <v>42499</v>
      </c>
      <c r="L355" s="63" t="n"/>
      <c r="M355" s="70" t="n"/>
      <c r="N355" s="59" t="inlineStr">
        <is>
          <t>Unreliable (zero or out of band)</t>
        </is>
      </c>
      <c r="O355" s="64" t="n"/>
      <c r="P355" s="59" t="n"/>
      <c r="Q355" s="65" t="inlineStr">
        <is>
          <t>proposal to install 1 backflow prevention device in auto repair garage.</t>
        </is>
      </c>
      <c r="R355" s="61" t="inlineStr">
        <is>
          <t>Map</t>
        </is>
      </c>
      <c r="S355" s="61" t="inlineStr">
        <is>
          <t>Raw data</t>
        </is>
      </c>
    </row>
    <row r="356" ht="29" customHeight="1">
      <c r="A356" s="59" t="inlineStr">
        <is>
          <t>65 Bristol Ave</t>
        </is>
      </c>
      <c r="B356" s="60" t="n">
        <v>221</v>
      </c>
      <c r="C356" s="59" t="inlineStr">
        <is>
          <t>193 Geary Ave</t>
        </is>
      </c>
      <c r="D356" s="59" t="inlineStr">
        <is>
          <t>21 200771</t>
        </is>
      </c>
      <c r="E356" s="61" t="inlineStr">
        <is>
          <t>Building records request</t>
        </is>
      </c>
      <c r="F356" s="59" t="inlineStr">
        <is>
          <t>Addition or alteration</t>
        </is>
      </c>
      <c r="G356" s="59" t="inlineStr">
        <is>
          <t>Building Additions/Alterations</t>
        </is>
      </c>
      <c r="H356" s="59" t="inlineStr">
        <is>
          <t>Industrial</t>
        </is>
      </c>
      <c r="I356" s="59" t="inlineStr">
        <is>
          <t>closed</t>
        </is>
      </c>
      <c r="J356" s="63" t="n">
        <v>44426</v>
      </c>
      <c r="K356" s="63" t="n">
        <v>44490</v>
      </c>
      <c r="L356" s="63" t="n">
        <v>45331</v>
      </c>
      <c r="M356" s="70" t="n"/>
      <c r="N356" s="59" t="inlineStr">
        <is>
          <t>Unreliable (zero or out of band)</t>
        </is>
      </c>
      <c r="O356" s="64" t="n"/>
      <c r="P356" s="59" t="n"/>
      <c r="Q356" s="65" t="inlineStr">
        <is>
          <t>Party wall admin permit for the work a t 195 Geary Ave - building permit 21 194581</t>
        </is>
      </c>
      <c r="R356" s="61" t="inlineStr">
        <is>
          <t>Map</t>
        </is>
      </c>
      <c r="S356" s="61" t="inlineStr">
        <is>
          <t>Raw data</t>
        </is>
      </c>
    </row>
    <row r="357" ht="29" customHeight="1">
      <c r="A357" s="59" t="inlineStr">
        <is>
          <t>65 Bristol Ave</t>
        </is>
      </c>
      <c r="B357" s="60" t="n">
        <v>222</v>
      </c>
      <c r="C357" s="59" t="inlineStr">
        <is>
          <t>209 Geary Ave</t>
        </is>
      </c>
      <c r="D357" s="59" t="inlineStr">
        <is>
          <t>11 137556</t>
        </is>
      </c>
      <c r="E357" s="61" t="inlineStr">
        <is>
          <t>Building records request</t>
        </is>
      </c>
      <c r="F357" s="59" t="inlineStr">
        <is>
          <t>Other</t>
        </is>
      </c>
      <c r="G357" s="59" t="inlineStr">
        <is>
          <t>Designated Structures</t>
        </is>
      </c>
      <c r="H357" s="59" t="inlineStr">
        <is>
          <t>Restaurant 30 Seats or Less</t>
        </is>
      </c>
      <c r="I357" s="59" t="inlineStr">
        <is>
          <t>cancelled</t>
        </is>
      </c>
      <c r="J357" s="63" t="n">
        <v>40605</v>
      </c>
      <c r="K357" s="63" t="n">
        <v>40611</v>
      </c>
      <c r="L357" s="63" t="n">
        <v>44764</v>
      </c>
      <c r="M357" s="70" t="n">
        <v>40000</v>
      </c>
      <c r="N357" s="59" t="n"/>
      <c r="O357" s="64" t="n"/>
      <c r="P357" s="59" t="n"/>
      <c r="Q357" s="65" t="inlineStr">
        <is>
          <t>Proposed installation of roof top electric solar panels on a building with an existing restaurant.</t>
        </is>
      </c>
      <c r="R357" s="61" t="inlineStr">
        <is>
          <t>Map</t>
        </is>
      </c>
      <c r="S357" s="61" t="inlineStr">
        <is>
          <t>Raw data</t>
        </is>
      </c>
    </row>
    <row r="358" ht="29" customHeight="1">
      <c r="A358" s="59" t="inlineStr">
        <is>
          <t>65 Bristol Ave</t>
        </is>
      </c>
      <c r="B358" s="60" t="n">
        <v>222</v>
      </c>
      <c r="C358" s="59" t="inlineStr">
        <is>
          <t>209 Geary Ave</t>
        </is>
      </c>
      <c r="D358" s="59" t="inlineStr">
        <is>
          <t>16 140407</t>
        </is>
      </c>
      <c r="E358" s="61" t="inlineStr">
        <is>
          <t>Building records request</t>
        </is>
      </c>
      <c r="F358" s="59" t="inlineStr">
        <is>
          <t>Other</t>
        </is>
      </c>
      <c r="G358" s="59" t="inlineStr">
        <is>
          <t>Plumbing(PS)</t>
        </is>
      </c>
      <c r="H358" s="59" t="inlineStr">
        <is>
          <t>Restaurant Greater Than 30 Seats</t>
        </is>
      </c>
      <c r="I358" s="59" t="inlineStr">
        <is>
          <t>closed</t>
        </is>
      </c>
      <c r="J358" s="63" t="n">
        <v>42474</v>
      </c>
      <c r="K358" s="63" t="n">
        <v>42506</v>
      </c>
      <c r="L358" s="63" t="n">
        <v>44768</v>
      </c>
      <c r="M358" s="70" t="n"/>
      <c r="N358" s="59" t="inlineStr">
        <is>
          <t>Unreliable (zero or out of band)</t>
        </is>
      </c>
      <c r="O358" s="64" t="n"/>
      <c r="P358" s="59" t="n"/>
      <c r="Q358" s="65" t="inlineStr">
        <is>
          <t>PROPOSAL TO INSTAL 1 BACKFLOW IN EXISTING RESTURANT GREATER THAN 30 SEATS.</t>
        </is>
      </c>
      <c r="R358" s="61" t="inlineStr">
        <is>
          <t>Map</t>
        </is>
      </c>
      <c r="S358" s="61" t="inlineStr">
        <is>
          <t>Raw data</t>
        </is>
      </c>
    </row>
    <row r="359" ht="16" customHeight="1">
      <c r="A359" s="59" t="inlineStr">
        <is>
          <t>65 Bristol Ave</t>
        </is>
      </c>
      <c r="B359" s="60" t="n">
        <v>222</v>
      </c>
      <c r="C359" s="59" t="inlineStr">
        <is>
          <t>191 Geary Ave</t>
        </is>
      </c>
      <c r="D359" s="59" t="inlineStr">
        <is>
          <t>16 260475</t>
        </is>
      </c>
      <c r="E359" s="61" t="inlineStr">
        <is>
          <t>Building records request</t>
        </is>
      </c>
      <c r="F359" s="59" t="inlineStr">
        <is>
          <t>Other</t>
        </is>
      </c>
      <c r="G359" s="59" t="inlineStr">
        <is>
          <t>Plumbing(PS)</t>
        </is>
      </c>
      <c r="H359" s="59" t="inlineStr">
        <is>
          <t>Multiple Unit Building</t>
        </is>
      </c>
      <c r="I359" s="59" t="inlineStr">
        <is>
          <t>closed</t>
        </is>
      </c>
      <c r="J359" s="63" t="n">
        <v>42709</v>
      </c>
      <c r="K359" s="63" t="n">
        <v>42719</v>
      </c>
      <c r="L359" s="63" t="n">
        <v>45932</v>
      </c>
      <c r="M359" s="70" t="n"/>
      <c r="N359" s="59" t="inlineStr">
        <is>
          <t>Unreliable (zero or out of band)</t>
        </is>
      </c>
      <c r="O359" s="64" t="n"/>
      <c r="P359" s="59" t="n"/>
      <c r="Q359" s="65" t="inlineStr">
        <is>
          <t>Install one backflow prevention device.</t>
        </is>
      </c>
      <c r="R359" s="61" t="inlineStr">
        <is>
          <t>Map</t>
        </is>
      </c>
      <c r="S359" s="61" t="inlineStr">
        <is>
          <t>Raw data</t>
        </is>
      </c>
    </row>
    <row r="360" ht="29" customHeight="1">
      <c r="A360" s="59" t="inlineStr">
        <is>
          <t>65 Bristol Ave</t>
        </is>
      </c>
      <c r="B360" s="60" t="n">
        <v>222</v>
      </c>
      <c r="C360" s="59" t="inlineStr">
        <is>
          <t>209 Geary Ave</t>
        </is>
      </c>
      <c r="D360" s="59" t="inlineStr">
        <is>
          <t>21 229531</t>
        </is>
      </c>
      <c r="E360" s="61" t="inlineStr">
        <is>
          <t>Building records request</t>
        </is>
      </c>
      <c r="F360" s="59" t="inlineStr">
        <is>
          <t>Addition or alteration</t>
        </is>
      </c>
      <c r="G360" s="59" t="inlineStr">
        <is>
          <t>Building Additions/Alterations; Mechanical(MS); Plumbing(PS)</t>
        </is>
      </c>
      <c r="H360" s="59" t="inlineStr">
        <is>
          <t>Multiple Unit Building</t>
        </is>
      </c>
      <c r="I360" s="59" t="inlineStr">
        <is>
          <t>closed</t>
        </is>
      </c>
      <c r="J360" s="63" t="n">
        <v>44491</v>
      </c>
      <c r="K360" s="63" t="n">
        <v>44656</v>
      </c>
      <c r="L360" s="63" t="n">
        <v>44763</v>
      </c>
      <c r="M360" s="70" t="n">
        <v>10000</v>
      </c>
      <c r="N360" s="59" t="n"/>
      <c r="O360" s="64" t="n"/>
      <c r="P360" s="59" t="n"/>
      <c r="Q360" s="65" t="inlineStr">
        <is>
          <t>Plumbing - Proposal for Interior Alterations and front Elevation Alteration.</t>
        </is>
      </c>
      <c r="R360" s="61" t="inlineStr">
        <is>
          <t>Map</t>
        </is>
      </c>
      <c r="S360" s="61" t="inlineStr">
        <is>
          <t>Raw data</t>
        </is>
      </c>
    </row>
    <row r="361" ht="29" customHeight="1">
      <c r="A361" s="59" t="inlineStr">
        <is>
          <t>65 Bristol Ave</t>
        </is>
      </c>
      <c r="B361" s="60" t="n">
        <v>222</v>
      </c>
      <c r="C361" s="59" t="inlineStr">
        <is>
          <t>191 Geary Ave</t>
        </is>
      </c>
      <c r="D361" s="59" t="inlineStr">
        <is>
          <t>22 101341</t>
        </is>
      </c>
      <c r="E361" s="61" t="inlineStr">
        <is>
          <t>Check permit status</t>
        </is>
      </c>
      <c r="F361" s="59" t="inlineStr">
        <is>
          <t>Addition or alteration</t>
        </is>
      </c>
      <c r="G361" s="59" t="inlineStr">
        <is>
          <t>Mechanical(MS); Building Additions/Alterations; Plumbing(PS)</t>
        </is>
      </c>
      <c r="H361" s="59" t="inlineStr">
        <is>
          <t>Restaurant 30 Seats or Less</t>
        </is>
      </c>
      <c r="I361" s="59" t="inlineStr">
        <is>
          <t>under inspection</t>
        </is>
      </c>
      <c r="J361" s="63" t="n">
        <v>44567</v>
      </c>
      <c r="K361" s="63" t="n">
        <v>44636</v>
      </c>
      <c r="L361" s="63" t="n">
        <v>45061</v>
      </c>
      <c r="M361" s="70" t="n">
        <v>20000</v>
      </c>
      <c r="N361" s="59" t="n"/>
      <c r="O361" s="64" t="n"/>
      <c r="P361" s="59" t="n"/>
      <c r="Q361" s="65" t="inlineStr">
        <is>
          <t>Plumbing - Proposal for installing 2 new washroom and mechanical duct work for kitchen equipment.</t>
        </is>
      </c>
      <c r="R361" s="61" t="inlineStr">
        <is>
          <t>Map</t>
        </is>
      </c>
      <c r="S361" s="61" t="inlineStr">
        <is>
          <t>Raw data</t>
        </is>
      </c>
    </row>
    <row r="362" ht="42" customHeight="1">
      <c r="A362" s="59" t="inlineStr">
        <is>
          <t>65 Bristol Ave</t>
        </is>
      </c>
      <c r="B362" s="60" t="n">
        <v>223</v>
      </c>
      <c r="C362" s="59" t="inlineStr">
        <is>
          <t>516 Salem Ave N</t>
        </is>
      </c>
      <c r="D362" s="59" t="inlineStr">
        <is>
          <t>06 130115</t>
        </is>
      </c>
      <c r="E362" s="61" t="inlineStr">
        <is>
          <t>Building records request</t>
        </is>
      </c>
      <c r="F362" s="59" t="inlineStr">
        <is>
          <t>Addition or alteration</t>
        </is>
      </c>
      <c r="G362" s="59" t="inlineStr">
        <is>
          <t>Plumbing(PS); Small Residential Projects</t>
        </is>
      </c>
      <c r="H362" s="59" t="inlineStr">
        <is>
          <t>SFD - Detached; SFD - Semi-Detached</t>
        </is>
      </c>
      <c r="I362" s="59" t="inlineStr">
        <is>
          <t>closed</t>
        </is>
      </c>
      <c r="J362" s="63" t="n">
        <v>38835</v>
      </c>
      <c r="K362" s="63" t="n">
        <v>38876</v>
      </c>
      <c r="L362" s="63" t="n">
        <v>46248</v>
      </c>
      <c r="M362" s="70" t="n">
        <v>40000</v>
      </c>
      <c r="N362" s="59" t="n"/>
      <c r="O362" s="64" t="n"/>
      <c r="P362" s="59" t="n"/>
      <c r="Q362" s="65" t="inlineStr">
        <is>
          <t>Construct a front basement entrance, underpin basment, finish basement for second suite.Existing use: one family semi detachedProposed use: converted house with 2 units</t>
        </is>
      </c>
      <c r="R362" s="61" t="inlineStr">
        <is>
          <t>Map</t>
        </is>
      </c>
      <c r="S362" s="61" t="inlineStr">
        <is>
          <t>Raw data</t>
        </is>
      </c>
    </row>
    <row r="363" ht="29" customHeight="1">
      <c r="A363" s="59" t="inlineStr">
        <is>
          <t>65 Bristol Ave</t>
        </is>
      </c>
      <c r="B363" s="60" t="n">
        <v>223</v>
      </c>
      <c r="C363" s="59" t="inlineStr">
        <is>
          <t>479 Salem Ave N</t>
        </is>
      </c>
      <c r="D363" s="59" t="inlineStr">
        <is>
          <t>10 108512</t>
        </is>
      </c>
      <c r="E363" s="61" t="inlineStr">
        <is>
          <t>Check permit status</t>
        </is>
      </c>
      <c r="F363" s="59" t="inlineStr">
        <is>
          <t>Addition or alteration</t>
        </is>
      </c>
      <c r="G363" s="59" t="inlineStr">
        <is>
          <t>Small Residential Projects</t>
        </is>
      </c>
      <c r="H363" s="59" t="inlineStr">
        <is>
          <t>SFD - Detached</t>
        </is>
      </c>
      <c r="I363" s="59" t="inlineStr">
        <is>
          <t>closed</t>
        </is>
      </c>
      <c r="J363" s="63" t="n">
        <v>40200</v>
      </c>
      <c r="K363" s="63" t="n">
        <v>40205</v>
      </c>
      <c r="L363" s="63" t="n">
        <v>46282</v>
      </c>
      <c r="M363" s="70" t="n">
        <v>10000</v>
      </c>
      <c r="N363" s="59" t="n"/>
      <c r="O363" s="64" t="n"/>
      <c r="P363" s="59" t="n"/>
      <c r="Q363" s="65" t="inlineStr">
        <is>
          <t>Removing 5 brick columns from arch facade and replace with 3 posts and beam. Relocate front window and widen door using new lintel</t>
        </is>
      </c>
      <c r="R363" s="61" t="inlineStr">
        <is>
          <t>Map</t>
        </is>
      </c>
      <c r="S363" s="61" t="inlineStr">
        <is>
          <t>Raw data</t>
        </is>
      </c>
    </row>
    <row r="364" ht="29" customHeight="1">
      <c r="A364" s="59" t="inlineStr">
        <is>
          <t>65 Bristol Ave</t>
        </is>
      </c>
      <c r="B364" s="60" t="n">
        <v>223</v>
      </c>
      <c r="C364" s="59" t="inlineStr">
        <is>
          <t>479 Salem Ave N</t>
        </is>
      </c>
      <c r="D364" s="59" t="inlineStr">
        <is>
          <t>10 149745</t>
        </is>
      </c>
      <c r="E364" s="61" t="inlineStr">
        <is>
          <t>Check permit status</t>
        </is>
      </c>
      <c r="F364" s="59" t="inlineStr">
        <is>
          <t>Other</t>
        </is>
      </c>
      <c r="G364" s="59" t="inlineStr">
        <is>
          <t>Plumbing(PS)</t>
        </is>
      </c>
      <c r="H364" s="59" t="inlineStr">
        <is>
          <t>SFD - Detached</t>
        </is>
      </c>
      <c r="I364" s="59" t="inlineStr">
        <is>
          <t>closed</t>
        </is>
      </c>
      <c r="J364" s="63" t="n">
        <v>40280</v>
      </c>
      <c r="K364" s="63" t="n">
        <v>40283</v>
      </c>
      <c r="L364" s="63" t="n">
        <v>46283</v>
      </c>
      <c r="M364" s="70" t="n">
        <v>7500</v>
      </c>
      <c r="N364" s="59" t="n"/>
      <c r="O364" s="64" t="n"/>
      <c r="P364" s="59" t="n"/>
      <c r="Q364" s="65" t="inlineStr">
        <is>
          <t>To replace 50' of sanitary piping in basement and to install one backwater valve.</t>
        </is>
      </c>
      <c r="R364" s="61" t="inlineStr">
        <is>
          <t>Map</t>
        </is>
      </c>
      <c r="S364" s="61" t="inlineStr">
        <is>
          <t>Raw data</t>
        </is>
      </c>
    </row>
    <row r="365" ht="16" customHeight="1">
      <c r="A365" s="59" t="inlineStr">
        <is>
          <t>65 Bristol Ave</t>
        </is>
      </c>
      <c r="B365" s="60" t="n">
        <v>223</v>
      </c>
      <c r="C365" s="59" t="inlineStr">
        <is>
          <t>211 Geary Ave</t>
        </is>
      </c>
      <c r="D365" s="59" t="inlineStr">
        <is>
          <t>16 124502</t>
        </is>
      </c>
      <c r="E365" s="61" t="inlineStr">
        <is>
          <t>Building records request</t>
        </is>
      </c>
      <c r="F365" s="59" t="inlineStr">
        <is>
          <t>Other</t>
        </is>
      </c>
      <c r="G365" s="59" t="inlineStr">
        <is>
          <t>Plumbing(PS)</t>
        </is>
      </c>
      <c r="H365" s="59" t="inlineStr">
        <is>
          <t>Restaurant 30 Seats or Less</t>
        </is>
      </c>
      <c r="I365" s="59" t="inlineStr">
        <is>
          <t>revocation pending</t>
        </is>
      </c>
      <c r="J365" s="63" t="n">
        <v>42436</v>
      </c>
      <c r="K365" s="63" t="n">
        <v>42439</v>
      </c>
      <c r="L365" s="63" t="n"/>
      <c r="M365" s="70" t="n"/>
      <c r="N365" s="59" t="inlineStr">
        <is>
          <t>Unreliable (zero or out of band)</t>
        </is>
      </c>
      <c r="O365" s="64" t="n"/>
      <c r="P365" s="59" t="n"/>
      <c r="Q365" s="65" t="inlineStr">
        <is>
          <t>Install 3/4" D.C.V.A back flow preventer</t>
        </is>
      </c>
      <c r="R365" s="61" t="inlineStr">
        <is>
          <t>Map</t>
        </is>
      </c>
      <c r="S365" s="61" t="inlineStr">
        <is>
          <t>Raw data</t>
        </is>
      </c>
    </row>
    <row r="366" ht="29" customHeight="1">
      <c r="A366" s="59" t="inlineStr">
        <is>
          <t>65 Bristol Ave</t>
        </is>
      </c>
      <c r="B366" s="60" t="n">
        <v>223</v>
      </c>
      <c r="C366" s="59" t="inlineStr">
        <is>
          <t>211 Geary Ave</t>
        </is>
      </c>
      <c r="D366" s="59" t="inlineStr">
        <is>
          <t>19 263324</t>
        </is>
      </c>
      <c r="E366" s="61" t="inlineStr">
        <is>
          <t>Building records request</t>
        </is>
      </c>
      <c r="F366" s="59" t="inlineStr">
        <is>
          <t>Addition or alteration</t>
        </is>
      </c>
      <c r="G366" s="59" t="inlineStr">
        <is>
          <t>Building Additions/Alterations</t>
        </is>
      </c>
      <c r="H366" s="59" t="inlineStr">
        <is>
          <t>Restaurant Greater Than 30 Seats</t>
        </is>
      </c>
      <c r="I366" s="59" t="inlineStr">
        <is>
          <t>closed</t>
        </is>
      </c>
      <c r="J366" s="63" t="n">
        <v>43818</v>
      </c>
      <c r="K366" s="63" t="n">
        <v>44022</v>
      </c>
      <c r="L366" s="63" t="n">
        <v>45908</v>
      </c>
      <c r="M366" s="70" t="n">
        <v>300000</v>
      </c>
      <c r="N366" s="59" t="n"/>
      <c r="O366" s="64" t="n"/>
      <c r="P366" s="59" t="n"/>
      <c r="Q366" s="65" t="inlineStr">
        <is>
          <t>Proposal for interior alterations to an existing restaurant with 180 seats.</t>
        </is>
      </c>
      <c r="R366" s="61" t="inlineStr">
        <is>
          <t>Map</t>
        </is>
      </c>
      <c r="S366" s="61" t="inlineStr">
        <is>
          <t>Raw data</t>
        </is>
      </c>
    </row>
    <row r="367" ht="16" customHeight="1">
      <c r="A367" s="59" t="inlineStr">
        <is>
          <t>65 Bristol Ave</t>
        </is>
      </c>
      <c r="B367" s="60" t="n">
        <v>223</v>
      </c>
      <c r="C367" s="59" t="inlineStr">
        <is>
          <t>516 Salem Ave N</t>
        </is>
      </c>
      <c r="D367" s="59" t="inlineStr">
        <is>
          <t>23 112768</t>
        </is>
      </c>
      <c r="E367" s="61" t="inlineStr">
        <is>
          <t>Building records request</t>
        </is>
      </c>
      <c r="F367" s="59" t="inlineStr">
        <is>
          <t>Addition or alteration</t>
        </is>
      </c>
      <c r="G367" s="59" t="inlineStr">
        <is>
          <t>Small Residential Projects</t>
        </is>
      </c>
      <c r="H367" s="59" t="inlineStr">
        <is>
          <t>SFD - Semi-Detached</t>
        </is>
      </c>
      <c r="I367" s="59" t="inlineStr">
        <is>
          <t>closed</t>
        </is>
      </c>
      <c r="J367" s="63" t="n">
        <v>44967</v>
      </c>
      <c r="K367" s="63" t="n">
        <v>45008</v>
      </c>
      <c r="L367" s="63" t="n">
        <v>45345</v>
      </c>
      <c r="M367" s="70" t="n">
        <v>5000</v>
      </c>
      <c r="N367" s="59" t="n"/>
      <c r="O367" s="64" t="n"/>
      <c r="P367" s="59" t="n"/>
      <c r="Q367" s="65" t="inlineStr">
        <is>
          <t>Party wall administrative permit - related to permit 22-207806 BLD</t>
        </is>
      </c>
      <c r="R367" s="61" t="inlineStr">
        <is>
          <t>Map</t>
        </is>
      </c>
      <c r="S367" s="61" t="inlineStr">
        <is>
          <t>Raw data</t>
        </is>
      </c>
    </row>
    <row r="368" ht="29" customHeight="1">
      <c r="A368" s="59" t="inlineStr">
        <is>
          <t>65 Bristol Ave</t>
        </is>
      </c>
      <c r="B368" s="60" t="n">
        <v>223</v>
      </c>
      <c r="C368" s="59" t="inlineStr">
        <is>
          <t>211 Geary Ave</t>
        </is>
      </c>
      <c r="D368" s="59" t="inlineStr">
        <is>
          <t>24 124092</t>
        </is>
      </c>
      <c r="E368" s="61" t="inlineStr">
        <is>
          <t>Building records request</t>
        </is>
      </c>
      <c r="F368" s="59" t="inlineStr">
        <is>
          <t>Addition or alteration</t>
        </is>
      </c>
      <c r="G368" s="59" t="inlineStr">
        <is>
          <t>Building Additions/Alterations; Mechanical(MS); Plumbing(PS)</t>
        </is>
      </c>
      <c r="H368" s="59" t="inlineStr">
        <is>
          <t>Multiple Use/Non Residential</t>
        </is>
      </c>
      <c r="I368" s="59" t="inlineStr">
        <is>
          <t>closed</t>
        </is>
      </c>
      <c r="J368" s="63" t="n">
        <v>45362</v>
      </c>
      <c r="K368" s="63" t="n">
        <v>45601</v>
      </c>
      <c r="L368" s="63" t="n">
        <v>45918</v>
      </c>
      <c r="M368" s="70" t="n">
        <v>1500000</v>
      </c>
      <c r="N368" s="59" t="n"/>
      <c r="O368" s="64" t="n"/>
      <c r="P368" s="59" t="n"/>
      <c r="Q368" s="65" t="inlineStr">
        <is>
          <t>Plumbing - Proposed interior alterations and mezzanine extension for proposed 2-storey wellness centre with cafe.</t>
        </is>
      </c>
      <c r="R368" s="61" t="inlineStr">
        <is>
          <t>Map</t>
        </is>
      </c>
      <c r="S368" s="61" t="inlineStr">
        <is>
          <t>Raw data</t>
        </is>
      </c>
    </row>
    <row r="369" ht="16" customHeight="1">
      <c r="A369" s="59" t="inlineStr">
        <is>
          <t>65 Bristol Ave</t>
        </is>
      </c>
      <c r="B369" s="60" t="n">
        <v>224</v>
      </c>
      <c r="C369" s="59" t="inlineStr">
        <is>
          <t>187 Geary Ave</t>
        </is>
      </c>
      <c r="D369" s="59" t="inlineStr">
        <is>
          <t>15 226769</t>
        </is>
      </c>
      <c r="E369" s="61" t="inlineStr">
        <is>
          <t>Building records request</t>
        </is>
      </c>
      <c r="F369" s="59" t="inlineStr">
        <is>
          <t>Other</t>
        </is>
      </c>
      <c r="G369" s="59" t="inlineStr">
        <is>
          <t>Plumbing(PS)</t>
        </is>
      </c>
      <c r="H369" s="59" t="inlineStr">
        <is>
          <t>Other</t>
        </is>
      </c>
      <c r="I369" s="59" t="inlineStr">
        <is>
          <t>issued</t>
        </is>
      </c>
      <c r="J369" s="63" t="n">
        <v>42269</v>
      </c>
      <c r="K369" s="63" t="n">
        <v>42310</v>
      </c>
      <c r="L369" s="63" t="n"/>
      <c r="M369" s="70" t="n"/>
      <c r="N369" s="59" t="inlineStr">
        <is>
          <t>Unreliable (zero or out of band)</t>
        </is>
      </c>
      <c r="O369" s="64" t="n"/>
      <c r="P369" s="59" t="n"/>
      <c r="Q369" s="65" t="inlineStr">
        <is>
          <t>To install a back flow prevention device</t>
        </is>
      </c>
      <c r="R369" s="61" t="inlineStr">
        <is>
          <t>Map</t>
        </is>
      </c>
      <c r="S369" s="61" t="inlineStr">
        <is>
          <t>Raw data</t>
        </is>
      </c>
    </row>
    <row r="370" ht="42" customHeight="1">
      <c r="A370" s="59" t="inlineStr">
        <is>
          <t>65 Bristol Ave</t>
        </is>
      </c>
      <c r="B370" s="60" t="n">
        <v>224</v>
      </c>
      <c r="C370" s="59" t="inlineStr">
        <is>
          <t>402 Salem Ave N</t>
        </is>
      </c>
      <c r="D370" s="59" t="inlineStr">
        <is>
          <t>21 191358</t>
        </is>
      </c>
      <c r="E370" s="61" t="inlineStr">
        <is>
          <t>Building records request</t>
        </is>
      </c>
      <c r="F370" s="59" t="inlineStr">
        <is>
          <t>Addition or alteration</t>
        </is>
      </c>
      <c r="G370" s="59" t="inlineStr">
        <is>
          <t>Mechanical(MS); Plumbing(PS); Small Residential Projects; Drain and Site Service</t>
        </is>
      </c>
      <c r="H370" s="59" t="inlineStr">
        <is>
          <t>SFD - Detached</t>
        </is>
      </c>
      <c r="I370" s="59" t="inlineStr">
        <is>
          <t>closed</t>
        </is>
      </c>
      <c r="J370" s="63" t="n">
        <v>44406</v>
      </c>
      <c r="K370" s="63" t="n">
        <v>44680</v>
      </c>
      <c r="L370" s="63" t="n">
        <v>45328</v>
      </c>
      <c r="M370" s="70" t="n">
        <v>750000</v>
      </c>
      <c r="N370" s="59" t="n"/>
      <c r="O370" s="64" t="n">
        <v>1</v>
      </c>
      <c r="P370" s="59" t="n"/>
      <c r="Q370" s="65" t="inlineStr">
        <is>
          <t>Plumbing - To convert one storey warehouse building into a three storey detached house, interior alterations and constructing an integral garage, second and third storeys and a third floor terrace.</t>
        </is>
      </c>
      <c r="R370" s="61" t="inlineStr">
        <is>
          <t>Map</t>
        </is>
      </c>
      <c r="S370" s="61" t="inlineStr">
        <is>
          <t>Raw data</t>
        </is>
      </c>
    </row>
    <row r="371" ht="68" customHeight="1">
      <c r="A371" s="59" t="inlineStr">
        <is>
          <t>65 Bristol Ave</t>
        </is>
      </c>
      <c r="B371" s="60" t="n">
        <v>225</v>
      </c>
      <c r="C371" s="59" t="inlineStr">
        <is>
          <t>425 Salem Ave N</t>
        </is>
      </c>
      <c r="D371" s="59" t="inlineStr">
        <is>
          <t>01 188099</t>
        </is>
      </c>
      <c r="E371" s="61" t="inlineStr">
        <is>
          <t>Building records request</t>
        </is>
      </c>
      <c r="F371" s="59" t="inlineStr">
        <is>
          <t>Addition or alteration</t>
        </is>
      </c>
      <c r="G371" s="59" t="inlineStr">
        <is>
          <t>Small Residential Projects</t>
        </is>
      </c>
      <c r="H371" s="59" t="inlineStr">
        <is>
          <t>SFD - Detached</t>
        </is>
      </c>
      <c r="I371" s="59" t="inlineStr">
        <is>
          <t>closed</t>
        </is>
      </c>
      <c r="J371" s="63" t="n">
        <v>37186</v>
      </c>
      <c r="K371" s="63" t="n">
        <v>37293</v>
      </c>
      <c r="L371" s="63" t="n">
        <v>43881</v>
      </c>
      <c r="M371" s="70" t="n">
        <v>72000</v>
      </c>
      <c r="N371" s="59" t="n"/>
      <c r="O371" s="64" t="n"/>
      <c r="P371" s="59" t="n"/>
      <c r="Q371" s="65" t="inlineStr">
        <is>
          <t>*REVISION: FLOOR JOIST DIRECTION CHANGE, PORCH EXTENSION, BASEMENT WALKOUT CHANGE, ELIMINATION OF BALCONY ON SECOND FLOOR, ROOF STRUCTURAL CHANGE - AS REQUIRED BY INSPECTOR* construct 2 storey rear addition with basement walkout, uncovered platform with cold storage below and second floor deck above</t>
        </is>
      </c>
      <c r="R371" s="61" t="inlineStr">
        <is>
          <t>Map</t>
        </is>
      </c>
      <c r="S371" s="61" t="inlineStr">
        <is>
          <t>Raw data</t>
        </is>
      </c>
    </row>
    <row r="372" ht="16" customHeight="1">
      <c r="A372" s="59" t="inlineStr">
        <is>
          <t>65 Bristol Ave</t>
        </is>
      </c>
      <c r="B372" s="60" t="n">
        <v>225</v>
      </c>
      <c r="C372" s="59" t="inlineStr">
        <is>
          <t>213 Geary Ave</t>
        </is>
      </c>
      <c r="D372" s="59" t="inlineStr">
        <is>
          <t>16 180011</t>
        </is>
      </c>
      <c r="E372" s="61" t="inlineStr">
        <is>
          <t>Building records request</t>
        </is>
      </c>
      <c r="F372" s="59" t="inlineStr">
        <is>
          <t>Other</t>
        </is>
      </c>
      <c r="G372" s="59" t="inlineStr">
        <is>
          <t>Plumbing(PS)</t>
        </is>
      </c>
      <c r="H372" s="59" t="inlineStr">
        <is>
          <t>Gymnasium</t>
        </is>
      </c>
      <c r="I372" s="59" t="inlineStr">
        <is>
          <t>issued</t>
        </is>
      </c>
      <c r="J372" s="63" t="n">
        <v>42545</v>
      </c>
      <c r="K372" s="63" t="n">
        <v>42592</v>
      </c>
      <c r="L372" s="63" t="n"/>
      <c r="M372" s="70" t="n">
        <v>1500</v>
      </c>
      <c r="N372" s="59" t="n"/>
      <c r="O372" s="64" t="n"/>
      <c r="P372" s="59" t="n"/>
      <c r="Q372" s="65" t="inlineStr">
        <is>
          <t>Proposal to install a 3/4 inch backflow prevention device.</t>
        </is>
      </c>
      <c r="R372" s="61" t="inlineStr">
        <is>
          <t>Map</t>
        </is>
      </c>
      <c r="S372" s="61" t="inlineStr">
        <is>
          <t>Raw data</t>
        </is>
      </c>
    </row>
    <row r="373" ht="16" customHeight="1">
      <c r="A373" s="59" t="inlineStr">
        <is>
          <t>65 Bristol Ave</t>
        </is>
      </c>
      <c r="B373" s="60" t="n">
        <v>226</v>
      </c>
      <c r="C373" s="59" t="inlineStr">
        <is>
          <t>185 Geary Ave</t>
        </is>
      </c>
      <c r="D373" s="59" t="inlineStr">
        <is>
          <t>15 227403</t>
        </is>
      </c>
      <c r="E373" s="61" t="inlineStr">
        <is>
          <t>Building records request</t>
        </is>
      </c>
      <c r="F373" s="59" t="inlineStr">
        <is>
          <t>Other</t>
        </is>
      </c>
      <c r="G373" s="59" t="inlineStr">
        <is>
          <t>Plumbing(PS)</t>
        </is>
      </c>
      <c r="H373" s="59" t="inlineStr">
        <is>
          <t>Other</t>
        </is>
      </c>
      <c r="I373" s="59" t="inlineStr">
        <is>
          <t>issued</t>
        </is>
      </c>
      <c r="J373" s="63" t="n">
        <v>42270</v>
      </c>
      <c r="K373" s="63" t="n">
        <v>42310</v>
      </c>
      <c r="L373" s="63" t="n"/>
      <c r="M373" s="70" t="n"/>
      <c r="N373" s="59" t="inlineStr">
        <is>
          <t>Unreliable (zero or out of band)</t>
        </is>
      </c>
      <c r="O373" s="64" t="n"/>
      <c r="P373" s="59" t="n"/>
      <c r="Q373" s="65" t="inlineStr">
        <is>
          <t>To install a back flow prevention device</t>
        </is>
      </c>
      <c r="R373" s="61" t="inlineStr">
        <is>
          <t>Map</t>
        </is>
      </c>
      <c r="S373" s="61" t="inlineStr">
        <is>
          <t>Raw data</t>
        </is>
      </c>
    </row>
    <row r="374" ht="29" customHeight="1">
      <c r="A374" s="59" t="inlineStr">
        <is>
          <t>65 Bristol Ave</t>
        </is>
      </c>
      <c r="B374" s="60" t="n">
        <v>227</v>
      </c>
      <c r="C374" s="59" t="inlineStr">
        <is>
          <t>215 Geary Ave</t>
        </is>
      </c>
      <c r="D374" s="59" t="inlineStr">
        <is>
          <t>19 203282</t>
        </is>
      </c>
      <c r="E374" s="61" t="inlineStr">
        <is>
          <t>Check permit status</t>
        </is>
      </c>
      <c r="F374" s="59" t="inlineStr">
        <is>
          <t>Addition or alteration</t>
        </is>
      </c>
      <c r="G374" s="59" t="inlineStr">
        <is>
          <t>Building Additions/Alterations</t>
        </is>
      </c>
      <c r="H374" s="59" t="inlineStr">
        <is>
          <t>Multiple Use/Non Residential</t>
        </is>
      </c>
      <c r="I374" s="59" t="inlineStr">
        <is>
          <t>under inspection</t>
        </is>
      </c>
      <c r="J374" s="63" t="n">
        <v>43686</v>
      </c>
      <c r="K374" s="63" t="n">
        <v>43703</v>
      </c>
      <c r="L374" s="63" t="n"/>
      <c r="M374" s="70" t="n">
        <v>25000</v>
      </c>
      <c r="N374" s="59" t="n"/>
      <c r="O374" s="64" t="n"/>
      <c r="P374" s="59" t="n"/>
      <c r="Q374" s="65" t="inlineStr">
        <is>
          <t>Proposal to replace existing doors and windows front facade of building.</t>
        </is>
      </c>
      <c r="R374" s="61" t="inlineStr">
        <is>
          <t>Map</t>
        </is>
      </c>
      <c r="S374" s="61" t="inlineStr">
        <is>
          <t>Raw data</t>
        </is>
      </c>
    </row>
    <row r="375" ht="16" customHeight="1">
      <c r="A375" s="59" t="inlineStr">
        <is>
          <t>65 Bristol Ave</t>
        </is>
      </c>
      <c r="B375" s="60" t="n">
        <v>228</v>
      </c>
      <c r="C375" s="59" t="inlineStr">
        <is>
          <t>483 Salem Ave N</t>
        </is>
      </c>
      <c r="D375" s="59" t="inlineStr">
        <is>
          <t>07 255421</t>
        </is>
      </c>
      <c r="E375" s="61" t="inlineStr">
        <is>
          <t>Building records request</t>
        </is>
      </c>
      <c r="F375" s="59" t="inlineStr">
        <is>
          <t>Demolition</t>
        </is>
      </c>
      <c r="G375" s="59" t="inlineStr">
        <is>
          <t>Demolition Folder (DM)</t>
        </is>
      </c>
      <c r="H375" s="59" t="inlineStr">
        <is>
          <t>SFD - Detached</t>
        </is>
      </c>
      <c r="I375" s="59" t="inlineStr">
        <is>
          <t>closed</t>
        </is>
      </c>
      <c r="J375" s="63" t="n">
        <v>39316</v>
      </c>
      <c r="K375" s="63" t="n">
        <v>39344</v>
      </c>
      <c r="L375" s="63" t="n">
        <v>43290</v>
      </c>
      <c r="M375" s="70" t="n"/>
      <c r="N375" s="59" t="inlineStr">
        <is>
          <t>Unreliable (zero or out of band)</t>
        </is>
      </c>
      <c r="O375" s="64" t="n"/>
      <c r="P375" s="59" t="n"/>
      <c r="Q375" s="65" t="inlineStr">
        <is>
          <t>demolish existing one storey-one family frame dwelling</t>
        </is>
      </c>
      <c r="R375" s="61" t="inlineStr">
        <is>
          <t>Map</t>
        </is>
      </c>
      <c r="S375" s="61" t="inlineStr">
        <is>
          <t>Raw data</t>
        </is>
      </c>
    </row>
    <row r="376" ht="16" customHeight="1">
      <c r="A376" s="59" t="inlineStr">
        <is>
          <t>65 Bristol Ave</t>
        </is>
      </c>
      <c r="B376" s="60" t="n">
        <v>228</v>
      </c>
      <c r="C376" s="59" t="inlineStr">
        <is>
          <t>205 Geary Ave</t>
        </is>
      </c>
      <c r="D376" s="59" t="inlineStr">
        <is>
          <t>15 227468</t>
        </is>
      </c>
      <c r="E376" s="61" t="inlineStr">
        <is>
          <t>Building records request</t>
        </is>
      </c>
      <c r="F376" s="59" t="inlineStr">
        <is>
          <t>Other</t>
        </is>
      </c>
      <c r="G376" s="59" t="inlineStr">
        <is>
          <t>Plumbing(PS)</t>
        </is>
      </c>
      <c r="H376" s="59" t="inlineStr">
        <is>
          <t>Other</t>
        </is>
      </c>
      <c r="I376" s="59" t="inlineStr">
        <is>
          <t>issued</t>
        </is>
      </c>
      <c r="J376" s="63" t="n">
        <v>42270</v>
      </c>
      <c r="K376" s="63" t="n">
        <v>42310</v>
      </c>
      <c r="L376" s="63" t="n"/>
      <c r="M376" s="70" t="n"/>
      <c r="N376" s="59" t="inlineStr">
        <is>
          <t>Unreliable (zero or out of band)</t>
        </is>
      </c>
      <c r="O376" s="64" t="n"/>
      <c r="P376" s="59" t="n"/>
      <c r="Q376" s="65" t="inlineStr">
        <is>
          <t>To install a back flow prevention device</t>
        </is>
      </c>
      <c r="R376" s="61" t="inlineStr">
        <is>
          <t>Map</t>
        </is>
      </c>
      <c r="S376" s="61" t="inlineStr">
        <is>
          <t>Raw data</t>
        </is>
      </c>
    </row>
    <row r="377" ht="16" customHeight="1">
      <c r="A377" s="59" t="inlineStr">
        <is>
          <t>65 Bristol Ave</t>
        </is>
      </c>
      <c r="B377" s="60" t="n">
        <v>228</v>
      </c>
      <c r="C377" s="59" t="inlineStr">
        <is>
          <t>183 Geary Ave</t>
        </is>
      </c>
      <c r="D377" s="59" t="inlineStr">
        <is>
          <t>16 260473</t>
        </is>
      </c>
      <c r="E377" s="61" t="inlineStr">
        <is>
          <t>Check permit status</t>
        </is>
      </c>
      <c r="F377" s="59" t="inlineStr">
        <is>
          <t>Other</t>
        </is>
      </c>
      <c r="G377" s="59" t="inlineStr">
        <is>
          <t>Plumbing(PS)</t>
        </is>
      </c>
      <c r="H377" s="59" t="inlineStr">
        <is>
          <t>Multiple Unit Building</t>
        </is>
      </c>
      <c r="I377" s="59" t="inlineStr">
        <is>
          <t>revocation pending</t>
        </is>
      </c>
      <c r="J377" s="63" t="n">
        <v>42709</v>
      </c>
      <c r="K377" s="63" t="n">
        <v>42719</v>
      </c>
      <c r="L377" s="63" t="n"/>
      <c r="M377" s="70" t="n"/>
      <c r="N377" s="59" t="inlineStr">
        <is>
          <t>Unreliable (zero or out of band)</t>
        </is>
      </c>
      <c r="O377" s="64" t="n"/>
      <c r="P377" s="59" t="n"/>
      <c r="Q377" s="65" t="inlineStr">
        <is>
          <t>Install one backflow prevention device.</t>
        </is>
      </c>
      <c r="R377" s="61" t="inlineStr">
        <is>
          <t>Map</t>
        </is>
      </c>
      <c r="S377" s="61" t="inlineStr">
        <is>
          <t>Raw data</t>
        </is>
      </c>
    </row>
    <row r="378" ht="55" customHeight="1">
      <c r="A378" s="59" t="inlineStr">
        <is>
          <t>65 Bristol Ave</t>
        </is>
      </c>
      <c r="B378" s="60" t="n">
        <v>228</v>
      </c>
      <c r="C378" s="59" t="inlineStr">
        <is>
          <t>1384 Dufferin St</t>
        </is>
      </c>
      <c r="D378" s="59" t="inlineStr">
        <is>
          <t>21 134147</t>
        </is>
      </c>
      <c r="E378" s="61" t="inlineStr">
        <is>
          <t>Check permit status</t>
        </is>
      </c>
      <c r="F378" s="59" t="inlineStr">
        <is>
          <t>Addition or alteration</t>
        </is>
      </c>
      <c r="G378" s="59" t="inlineStr">
        <is>
          <t>Mechanical(MS); Building Additions/Alterations</t>
        </is>
      </c>
      <c r="H378" s="59" t="inlineStr">
        <is>
          <t>Multiple Use/Non Residential</t>
        </is>
      </c>
      <c r="I378" s="59" t="inlineStr">
        <is>
          <t>under inspection</t>
        </is>
      </c>
      <c r="J378" s="63" t="n">
        <v>44285</v>
      </c>
      <c r="K378" s="63" t="n">
        <v>44516</v>
      </c>
      <c r="L378" s="63" t="n">
        <v>45083</v>
      </c>
      <c r="M378" s="70" t="n">
        <v>180000</v>
      </c>
      <c r="N378" s="59" t="n"/>
      <c r="O378" s="64" t="n"/>
      <c r="P378" s="59" t="n"/>
      <c r="Q378" s="65" t="inlineStr">
        <is>
          <t>Revision 1 (Feb 3 2022):Revision to original permit application: proposal to retain original floor separation (floor assembly) for architectural and historic reasons and the addition of a door on the second level at proposed warhouse (Door # 41)</t>
        </is>
      </c>
      <c r="R378" s="61" t="inlineStr">
        <is>
          <t>Map</t>
        </is>
      </c>
      <c r="S378" s="61" t="inlineStr">
        <is>
          <t>Raw data</t>
        </is>
      </c>
    </row>
    <row r="379" ht="16" customHeight="1">
      <c r="A379" s="59" t="inlineStr">
        <is>
          <t>65 Bristol Ave</t>
        </is>
      </c>
      <c r="B379" s="60" t="n">
        <v>228</v>
      </c>
      <c r="C379" s="59" t="inlineStr">
        <is>
          <t>1373 Davenport Rd</t>
        </is>
      </c>
      <c r="D379" s="59" t="inlineStr">
        <is>
          <t>99 021203</t>
        </is>
      </c>
      <c r="E379" s="61" t="inlineStr">
        <is>
          <t>Building records request</t>
        </is>
      </c>
      <c r="F379" s="59" t="inlineStr">
        <is>
          <t>Addition or alteration</t>
        </is>
      </c>
      <c r="G379" s="59" t="inlineStr">
        <is>
          <t>Small Residential Projects</t>
        </is>
      </c>
      <c r="H379" s="59" t="inlineStr">
        <is>
          <t>Unknown</t>
        </is>
      </c>
      <c r="I379" s="59" t="inlineStr">
        <is>
          <t>under inspection</t>
        </is>
      </c>
      <c r="J379" s="63" t="n">
        <v>36417</v>
      </c>
      <c r="K379" s="63" t="n">
        <v>36417</v>
      </c>
      <c r="L379" s="63" t="n"/>
      <c r="M379" s="70" t="n">
        <v>12000</v>
      </c>
      <c r="N379" s="59" t="n"/>
      <c r="O379" s="64" t="n"/>
      <c r="P379" s="59" t="n"/>
      <c r="Q379" s="65" t="inlineStr">
        <is>
          <t>BUILD ADDITION AT REAR</t>
        </is>
      </c>
      <c r="R379" s="61" t="inlineStr">
        <is>
          <t>Map</t>
        </is>
      </c>
      <c r="S379" s="61" t="inlineStr">
        <is>
          <t>Raw data</t>
        </is>
      </c>
    </row>
    <row r="380" ht="29" customHeight="1">
      <c r="A380" s="59" t="inlineStr">
        <is>
          <t>65 Bristol Ave</t>
        </is>
      </c>
      <c r="B380" s="60" t="n">
        <v>229</v>
      </c>
      <c r="C380" s="59" t="inlineStr">
        <is>
          <t>217 Geary Ave</t>
        </is>
      </c>
      <c r="D380" s="59" t="inlineStr">
        <is>
          <t>17 146207</t>
        </is>
      </c>
      <c r="E380" s="61" t="inlineStr">
        <is>
          <t>Building records request</t>
        </is>
      </c>
      <c r="F380" s="59" t="inlineStr">
        <is>
          <t>Addition or alteration</t>
        </is>
      </c>
      <c r="G380" s="59" t="inlineStr">
        <is>
          <t>Building Additions/Alterations; Mechanical(MS); Plumbing(PS)</t>
        </is>
      </c>
      <c r="H380" s="59" t="inlineStr">
        <is>
          <t>Restaurant Greater Than 30 Seats</t>
        </is>
      </c>
      <c r="I380" s="59" t="inlineStr">
        <is>
          <t>closed</t>
        </is>
      </c>
      <c r="J380" s="63" t="n">
        <v>42845</v>
      </c>
      <c r="K380" s="63" t="n">
        <v>42894</v>
      </c>
      <c r="L380" s="63" t="n">
        <v>43126</v>
      </c>
      <c r="M380" s="70" t="n">
        <v>100000</v>
      </c>
      <c r="N380" s="59" t="n"/>
      <c r="O380" s="64" t="n"/>
      <c r="P380" s="59" t="n"/>
      <c r="Q380" s="65" t="inlineStr">
        <is>
          <t>Proposal for interior alterations for new restaurant with 86 seats. note: occupancy load is 86 seats and 9 staff= 95 persons</t>
        </is>
      </c>
      <c r="R380" s="61" t="inlineStr">
        <is>
          <t>Map</t>
        </is>
      </c>
      <c r="S380" s="61" t="inlineStr">
        <is>
          <t>Raw data</t>
        </is>
      </c>
    </row>
    <row r="381" ht="16" customHeight="1">
      <c r="A381" s="59" t="inlineStr">
        <is>
          <t>65 Bristol Ave</t>
        </is>
      </c>
      <c r="B381" s="60" t="n">
        <v>229</v>
      </c>
      <c r="C381" s="59" t="inlineStr">
        <is>
          <t>217 Geary Ave</t>
        </is>
      </c>
      <c r="D381" s="59" t="inlineStr">
        <is>
          <t>18 215084</t>
        </is>
      </c>
      <c r="E381" s="61" t="inlineStr">
        <is>
          <t>Building records request</t>
        </is>
      </c>
      <c r="F381" s="59" t="inlineStr">
        <is>
          <t>Addition or alteration</t>
        </is>
      </c>
      <c r="G381" s="59" t="inlineStr">
        <is>
          <t>Building Additions/Alterations</t>
        </is>
      </c>
      <c r="H381" s="59" t="inlineStr">
        <is>
          <t>Restaurant Greater Than 30 Seats</t>
        </is>
      </c>
      <c r="I381" s="59" t="inlineStr">
        <is>
          <t>closed</t>
        </is>
      </c>
      <c r="J381" s="63" t="n">
        <v>43336</v>
      </c>
      <c r="K381" s="63" t="n">
        <v>43360</v>
      </c>
      <c r="L381" s="63" t="n">
        <v>44588</v>
      </c>
      <c r="M381" s="70" t="n">
        <v>50000</v>
      </c>
      <c r="N381" s="59" t="n"/>
      <c r="O381" s="64" t="n"/>
      <c r="P381" s="59" t="n"/>
      <c r="Q381" s="65" t="inlineStr">
        <is>
          <t>Proposal to construct a patio at the front of existing restaurant.</t>
        </is>
      </c>
      <c r="R381" s="61" t="inlineStr">
        <is>
          <t>Map</t>
        </is>
      </c>
      <c r="S381" s="61" t="inlineStr">
        <is>
          <t>Raw data</t>
        </is>
      </c>
    </row>
    <row r="382" ht="42" customHeight="1">
      <c r="A382" s="59" t="inlineStr">
        <is>
          <t>65 Bristol Ave</t>
        </is>
      </c>
      <c r="B382" s="60" t="n">
        <v>229</v>
      </c>
      <c r="C382" s="59" t="inlineStr">
        <is>
          <t>217 Geary Ave</t>
        </is>
      </c>
      <c r="D382" s="59" t="inlineStr">
        <is>
          <t>19 200130</t>
        </is>
      </c>
      <c r="E382" s="61" t="inlineStr">
        <is>
          <t>Building records request</t>
        </is>
      </c>
      <c r="F382" s="59" t="inlineStr">
        <is>
          <t>Addition or alteration</t>
        </is>
      </c>
      <c r="G382" s="59" t="inlineStr">
        <is>
          <t>Building Additions/Alterations</t>
        </is>
      </c>
      <c r="H382" s="59" t="inlineStr">
        <is>
          <t>Restaurant Greater Than 30 Seats</t>
        </is>
      </c>
      <c r="I382" s="59" t="inlineStr">
        <is>
          <t>closed</t>
        </is>
      </c>
      <c r="J382" s="63" t="n">
        <v>44404</v>
      </c>
      <c r="K382" s="63" t="n">
        <v>44433</v>
      </c>
      <c r="L382" s="63" t="n">
        <v>44446</v>
      </c>
      <c r="M382" s="70" t="n"/>
      <c r="N382" s="59" t="inlineStr">
        <is>
          <t>Unreliable (zero or out of band)</t>
        </is>
      </c>
      <c r="O382" s="64" t="n"/>
      <c r="P382" s="59" t="n"/>
      <c r="Q382" s="65" t="inlineStr">
        <is>
          <t>Revision 01 - TO REDUCE INTERIOR OCCUPANT LOAD TO 40 SEATS Proposal to reduce the number of seats in existing restaurant, greater than 30 seats.New seating - 70 patrons and 9 staff.</t>
        </is>
      </c>
      <c r="R382" s="61" t="inlineStr">
        <is>
          <t>Map</t>
        </is>
      </c>
      <c r="S382" s="61" t="inlineStr">
        <is>
          <t>Raw data</t>
        </is>
      </c>
    </row>
    <row r="383" ht="29" customHeight="1">
      <c r="A383" s="59" t="inlineStr">
        <is>
          <t>65 Bristol Ave</t>
        </is>
      </c>
      <c r="B383" s="60" t="n">
        <v>229</v>
      </c>
      <c r="C383" s="59" t="inlineStr">
        <is>
          <t>217 Geary Ave</t>
        </is>
      </c>
      <c r="D383" s="59" t="inlineStr">
        <is>
          <t>21 194127</t>
        </is>
      </c>
      <c r="E383" s="61" t="inlineStr">
        <is>
          <t>Building records request</t>
        </is>
      </c>
      <c r="F383" s="59" t="inlineStr">
        <is>
          <t>Addition or alteration</t>
        </is>
      </c>
      <c r="G383" s="59" t="inlineStr">
        <is>
          <t>Building Additions/Alterations</t>
        </is>
      </c>
      <c r="H383" s="59" t="inlineStr">
        <is>
          <t>Restaurant Greater Than 30 Seats</t>
        </is>
      </c>
      <c r="I383" s="59" t="inlineStr">
        <is>
          <t>closed</t>
        </is>
      </c>
      <c r="J383" s="63" t="n">
        <v>44413</v>
      </c>
      <c r="K383" s="63" t="n">
        <v>44426</v>
      </c>
      <c r="L383" s="63" t="n">
        <v>44588</v>
      </c>
      <c r="M383" s="70" t="n">
        <v>20000</v>
      </c>
      <c r="N383" s="59" t="n"/>
      <c r="O383" s="64" t="n"/>
      <c r="P383" s="59" t="n"/>
      <c r="Q383" s="65" t="inlineStr">
        <is>
          <t>PROPOSED CANOPY OVER EXISTING FRONT OUTDOOR PATIO.(20 202896 ZZC 00 ZR)</t>
        </is>
      </c>
      <c r="R383" s="61" t="inlineStr">
        <is>
          <t>Map</t>
        </is>
      </c>
      <c r="S383" s="61" t="inlineStr">
        <is>
          <t>Raw data</t>
        </is>
      </c>
    </row>
    <row r="384" ht="29" customHeight="1">
      <c r="A384" s="59" t="inlineStr">
        <is>
          <t>65 Bristol Ave</t>
        </is>
      </c>
      <c r="B384" s="60" t="n">
        <v>229</v>
      </c>
      <c r="C384" s="59" t="inlineStr">
        <is>
          <t>217 Geary Ave</t>
        </is>
      </c>
      <c r="D384" s="59" t="inlineStr">
        <is>
          <t>23 223140</t>
        </is>
      </c>
      <c r="E384" s="61" t="inlineStr">
        <is>
          <t>Building records request</t>
        </is>
      </c>
      <c r="F384" s="59" t="inlineStr">
        <is>
          <t>Addition or alteration</t>
        </is>
      </c>
      <c r="G384" s="59" t="inlineStr">
        <is>
          <t>Building Additions/Alterations</t>
        </is>
      </c>
      <c r="H384" s="59" t="inlineStr">
        <is>
          <t>Restaurant Greater Than 30 Seats</t>
        </is>
      </c>
      <c r="I384" s="59" t="inlineStr">
        <is>
          <t>cancelled</t>
        </is>
      </c>
      <c r="J384" s="63" t="n">
        <v>45352</v>
      </c>
      <c r="K384" s="63" t="n">
        <v>45268</v>
      </c>
      <c r="L384" s="63" t="n">
        <v>45355</v>
      </c>
      <c r="M384" s="70" t="n">
        <v>5000</v>
      </c>
      <c r="N384" s="59" t="n"/>
      <c r="O384" s="64" t="n"/>
      <c r="P384" s="59" t="n"/>
      <c r="Q384" s="65" t="inlineStr">
        <is>
          <t>REVISION 01: TO EXISTING CANOPY OVER EXISTING FRONT OUTDOOR PATIORevise patron area to original seating area (proposed 90 seats)</t>
        </is>
      </c>
      <c r="R384" s="61" t="inlineStr">
        <is>
          <t>Map</t>
        </is>
      </c>
      <c r="S384" s="61" t="inlineStr">
        <is>
          <t>Raw data</t>
        </is>
      </c>
    </row>
    <row r="385" ht="16" customHeight="1">
      <c r="A385" s="59" t="inlineStr">
        <is>
          <t>65 Bristol Ave</t>
        </is>
      </c>
      <c r="B385" s="60" t="n">
        <v>229</v>
      </c>
      <c r="C385" s="59" t="inlineStr">
        <is>
          <t>217 Geary Ave</t>
        </is>
      </c>
      <c r="D385" s="59" t="inlineStr">
        <is>
          <t>24 121771</t>
        </is>
      </c>
      <c r="E385" s="61" t="inlineStr">
        <is>
          <t>Building records request</t>
        </is>
      </c>
      <c r="F385" s="59" t="inlineStr">
        <is>
          <t>Addition or alteration</t>
        </is>
      </c>
      <c r="G385" s="59" t="inlineStr">
        <is>
          <t>Building Additions/Alterations</t>
        </is>
      </c>
      <c r="H385" s="59" t="inlineStr">
        <is>
          <t>Restaurant Greater Than 30 Seats</t>
        </is>
      </c>
      <c r="I385" s="59" t="inlineStr">
        <is>
          <t>closed</t>
        </is>
      </c>
      <c r="J385" s="63" t="n">
        <v>45355</v>
      </c>
      <c r="K385" s="63" t="n">
        <v>45387</v>
      </c>
      <c r="L385" s="63" t="n">
        <v>45435</v>
      </c>
      <c r="M385" s="70" t="n">
        <v>5000</v>
      </c>
      <c r="N385" s="59" t="n"/>
      <c r="O385" s="64" t="n"/>
      <c r="P385" s="59" t="n"/>
      <c r="Q385" s="65" t="inlineStr">
        <is>
          <t>PROPOSED MODIFICATIONS TO EXISTING OUTDOOR PATIO CANOPY</t>
        </is>
      </c>
      <c r="R385" s="61" t="inlineStr">
        <is>
          <t>Map</t>
        </is>
      </c>
      <c r="S385" s="61" t="inlineStr">
        <is>
          <t>Raw data</t>
        </is>
      </c>
    </row>
    <row r="386" ht="16" customHeight="1">
      <c r="A386" s="59" t="inlineStr">
        <is>
          <t>65 Bristol Ave</t>
        </is>
      </c>
      <c r="B386" s="60" t="n">
        <v>231</v>
      </c>
      <c r="C386" s="59" t="inlineStr">
        <is>
          <t>181 Geary Ave</t>
        </is>
      </c>
      <c r="D386" s="59" t="inlineStr">
        <is>
          <t>16 260472</t>
        </is>
      </c>
      <c r="E386" s="61" t="inlineStr">
        <is>
          <t>Check permit status</t>
        </is>
      </c>
      <c r="F386" s="59" t="inlineStr">
        <is>
          <t>Other</t>
        </is>
      </c>
      <c r="G386" s="59" t="inlineStr">
        <is>
          <t>Plumbing(PS)</t>
        </is>
      </c>
      <c r="H386" s="59" t="inlineStr">
        <is>
          <t>Multiple Unit Building</t>
        </is>
      </c>
      <c r="I386" s="59" t="inlineStr">
        <is>
          <t>revocation pending</t>
        </is>
      </c>
      <c r="J386" s="63" t="n">
        <v>42709</v>
      </c>
      <c r="K386" s="63" t="n">
        <v>42719</v>
      </c>
      <c r="L386" s="63" t="n"/>
      <c r="M386" s="70" t="n"/>
      <c r="N386" s="59" t="inlineStr">
        <is>
          <t>Unreliable (zero or out of band)</t>
        </is>
      </c>
      <c r="O386" s="64" t="n"/>
      <c r="P386" s="59" t="n"/>
      <c r="Q386" s="65" t="inlineStr">
        <is>
          <t>Install one backflow prevention device.</t>
        </is>
      </c>
      <c r="R386" s="61" t="inlineStr">
        <is>
          <t>Map</t>
        </is>
      </c>
      <c r="S386" s="61" t="inlineStr">
        <is>
          <t>Raw data</t>
        </is>
      </c>
    </row>
    <row r="387" ht="42" customHeight="1">
      <c r="A387" s="59" t="inlineStr">
        <is>
          <t>65 Bristol Ave</t>
        </is>
      </c>
      <c r="B387" s="60" t="n">
        <v>231</v>
      </c>
      <c r="C387" s="59" t="inlineStr">
        <is>
          <t>12 Chandos Ave</t>
        </is>
      </c>
      <c r="D387" s="59" t="inlineStr">
        <is>
          <t>99 105989</t>
        </is>
      </c>
      <c r="E387" s="61" t="inlineStr">
        <is>
          <t>Building records request</t>
        </is>
      </c>
      <c r="F387" s="59" t="inlineStr">
        <is>
          <t>Addition or alteration</t>
        </is>
      </c>
      <c r="G387" s="59" t="inlineStr">
        <is>
          <t>Residential Building Permit</t>
        </is>
      </c>
      <c r="H387" s="59" t="inlineStr">
        <is>
          <t>SFD - Detached</t>
        </is>
      </c>
      <c r="I387" s="59" t="inlineStr">
        <is>
          <t>under inspection</t>
        </is>
      </c>
      <c r="J387" s="63" t="n">
        <v>36461</v>
      </c>
      <c r="K387" s="63" t="n">
        <v>36515</v>
      </c>
      <c r="L387" s="63" t="n"/>
      <c r="M387" s="70" t="n">
        <v>150000</v>
      </c>
      <c r="N387" s="59" t="n"/>
      <c r="O387" s="64" t="n"/>
      <c r="P387" s="59" t="n"/>
      <c r="Q387" s="65" t="inlineStr">
        <is>
          <t>build detached house with private detached garage at rear. see c of a decision (final)( hold for survey approval(w21).Oct. 22/07-revision submitted to maintain length of house by 4' 1/4" as per c/o/a A275/07</t>
        </is>
      </c>
      <c r="R387" s="61" t="inlineStr">
        <is>
          <t>Map</t>
        </is>
      </c>
      <c r="S387" s="61" t="inlineStr">
        <is>
          <t>Raw data</t>
        </is>
      </c>
    </row>
    <row r="388" ht="29" customHeight="1">
      <c r="A388" s="59" t="inlineStr">
        <is>
          <t>65 Bristol Ave</t>
        </is>
      </c>
      <c r="B388" s="60" t="n">
        <v>232</v>
      </c>
      <c r="C388" s="59" t="inlineStr">
        <is>
          <t>1375 Davenport Rd</t>
        </is>
      </c>
      <c r="D388" s="59" t="inlineStr">
        <is>
          <t>19 103021</t>
        </is>
      </c>
      <c r="E388" s="61" t="inlineStr">
        <is>
          <t>Building records request</t>
        </is>
      </c>
      <c r="F388" s="59" t="inlineStr">
        <is>
          <t>Addition or alteration</t>
        </is>
      </c>
      <c r="G388" s="59" t="inlineStr">
        <is>
          <t>Plumbing(PS); Small Residential Projects</t>
        </is>
      </c>
      <c r="H388" s="59" t="inlineStr">
        <is>
          <t>2 Unit - Semi-detached; SFD - Detached</t>
        </is>
      </c>
      <c r="I388" s="59" t="inlineStr">
        <is>
          <t>closed</t>
        </is>
      </c>
      <c r="J388" s="63" t="n">
        <v>43475</v>
      </c>
      <c r="K388" s="63" t="n">
        <v>43481</v>
      </c>
      <c r="L388" s="63" t="n">
        <v>43651</v>
      </c>
      <c r="M388" s="70" t="n">
        <v>20000</v>
      </c>
      <c r="N388" s="59" t="n"/>
      <c r="O388" s="64" t="n"/>
      <c r="P388" s="59" t="n"/>
      <c r="Q388" s="65" t="inlineStr">
        <is>
          <t>Proposal to construct interior alterations within existing single family detached dwelling</t>
        </is>
      </c>
      <c r="R388" s="61" t="inlineStr">
        <is>
          <t>Map</t>
        </is>
      </c>
      <c r="S388" s="61" t="inlineStr">
        <is>
          <t>Raw data</t>
        </is>
      </c>
    </row>
    <row r="389" ht="29" customHeight="1">
      <c r="A389" s="59" t="inlineStr">
        <is>
          <t>65 Bristol Ave</t>
        </is>
      </c>
      <c r="B389" s="60" t="n">
        <v>233</v>
      </c>
      <c r="C389" s="59" t="inlineStr">
        <is>
          <t>5 Brandon Ave</t>
        </is>
      </c>
      <c r="D389" s="59" t="inlineStr">
        <is>
          <t>10 167667</t>
        </is>
      </c>
      <c r="E389" s="61" t="inlineStr">
        <is>
          <t>Building records request</t>
        </is>
      </c>
      <c r="F389" s="59" t="inlineStr">
        <is>
          <t>Addition or alteration</t>
        </is>
      </c>
      <c r="G389" s="59" t="inlineStr">
        <is>
          <t>Small Residential Projects</t>
        </is>
      </c>
      <c r="H389" s="59" t="inlineStr">
        <is>
          <t>SFD - Semi-Detached</t>
        </is>
      </c>
      <c r="I389" s="59" t="inlineStr">
        <is>
          <t>closed</t>
        </is>
      </c>
      <c r="J389" s="63" t="n">
        <v>40301</v>
      </c>
      <c r="K389" s="63" t="n">
        <v>40310</v>
      </c>
      <c r="L389" s="63" t="n">
        <v>43035</v>
      </c>
      <c r="M389" s="70" t="n"/>
      <c r="N389" s="59" t="inlineStr">
        <is>
          <t>Not declared</t>
        </is>
      </c>
      <c r="O389" s="64" t="n"/>
      <c r="P389" s="59" t="n"/>
      <c r="Q389" s="65" t="inlineStr">
        <is>
          <t>Repair fire damage to existing detached garage in rear yard sharing party wall with garage at 5A Brandon Ave.</t>
        </is>
      </c>
      <c r="R389" s="61" t="inlineStr">
        <is>
          <t>Map</t>
        </is>
      </c>
      <c r="S389" s="61" t="inlineStr">
        <is>
          <t>Raw data</t>
        </is>
      </c>
    </row>
    <row r="390" ht="16" customHeight="1">
      <c r="A390" s="59" t="inlineStr">
        <is>
          <t>65 Bristol Ave</t>
        </is>
      </c>
      <c r="B390" s="60" t="n">
        <v>238</v>
      </c>
      <c r="C390" s="59" t="inlineStr">
        <is>
          <t>223 Geary Ave</t>
        </is>
      </c>
      <c r="D390" s="59" t="inlineStr">
        <is>
          <t>16 260477</t>
        </is>
      </c>
      <c r="E390" s="61" t="inlineStr">
        <is>
          <t>Check permit status</t>
        </is>
      </c>
      <c r="F390" s="59" t="inlineStr">
        <is>
          <t>Other</t>
        </is>
      </c>
      <c r="G390" s="59" t="inlineStr">
        <is>
          <t>Plumbing(PS)</t>
        </is>
      </c>
      <c r="H390" s="59" t="inlineStr">
        <is>
          <t>Multiple Unit Building</t>
        </is>
      </c>
      <c r="I390" s="59" t="inlineStr">
        <is>
          <t>revocation pending</t>
        </is>
      </c>
      <c r="J390" s="63" t="n">
        <v>42709</v>
      </c>
      <c r="K390" s="63" t="n">
        <v>42719</v>
      </c>
      <c r="L390" s="63" t="n"/>
      <c r="M390" s="70" t="n"/>
      <c r="N390" s="59" t="inlineStr">
        <is>
          <t>Unreliable (zero or out of band)</t>
        </is>
      </c>
      <c r="O390" s="64" t="n"/>
      <c r="P390" s="59" t="n"/>
      <c r="Q390" s="65" t="inlineStr">
        <is>
          <t>Install one backflow prevention device.</t>
        </is>
      </c>
      <c r="R390" s="61" t="inlineStr">
        <is>
          <t>Map</t>
        </is>
      </c>
      <c r="S390" s="61" t="inlineStr">
        <is>
          <t>Raw data</t>
        </is>
      </c>
    </row>
    <row r="391" ht="16" customHeight="1">
      <c r="A391" s="59" t="inlineStr">
        <is>
          <t>65 Bristol Ave</t>
        </is>
      </c>
      <c r="B391" s="60" t="n">
        <v>238</v>
      </c>
      <c r="C391" s="59" t="inlineStr">
        <is>
          <t>16 Chandos Ave</t>
        </is>
      </c>
      <c r="D391" s="59" t="inlineStr">
        <is>
          <t>26 136454</t>
        </is>
      </c>
      <c r="E391" s="61" t="inlineStr">
        <is>
          <t>Check permit status</t>
        </is>
      </c>
      <c r="F391" s="59" t="inlineStr">
        <is>
          <t>Addition or alteration</t>
        </is>
      </c>
      <c r="G391" s="59" t="inlineStr">
        <is>
          <t>Small Residential Projects</t>
        </is>
      </c>
      <c r="H391" s="59" t="inlineStr">
        <is>
          <t>Other</t>
        </is>
      </c>
      <c r="I391" s="59" t="inlineStr">
        <is>
          <t>under review</t>
        </is>
      </c>
      <c r="J391" s="63" t="n">
        <v>46111</v>
      </c>
      <c r="K391" s="63" t="n"/>
      <c r="L391" s="63" t="n"/>
      <c r="M391" s="70" t="n"/>
      <c r="N391" s="59" t="inlineStr">
        <is>
          <t>Unreliable (zero or out of band)</t>
        </is>
      </c>
      <c r="O391" s="64" t="n"/>
      <c r="P391" s="59" t="n"/>
      <c r="Q391" s="65" t="inlineStr">
        <is>
          <t>Proposal for 4-dwelling room multi-tenant house</t>
        </is>
      </c>
      <c r="R391" s="61" t="inlineStr">
        <is>
          <t>Map</t>
        </is>
      </c>
      <c r="S391" s="61" t="inlineStr">
        <is>
          <t>Raw data</t>
        </is>
      </c>
    </row>
    <row r="392" ht="16" customHeight="1">
      <c r="A392" s="59" t="inlineStr">
        <is>
          <t>65 Bristol Ave</t>
        </is>
      </c>
      <c r="B392" s="60" t="n">
        <v>241</v>
      </c>
      <c r="C392" s="59" t="inlineStr">
        <is>
          <t>225 Geary Ave</t>
        </is>
      </c>
      <c r="D392" s="59" t="inlineStr">
        <is>
          <t>15 244489</t>
        </is>
      </c>
      <c r="E392" s="61" t="inlineStr">
        <is>
          <t>Building records request</t>
        </is>
      </c>
      <c r="F392" s="59" t="inlineStr">
        <is>
          <t>Other</t>
        </is>
      </c>
      <c r="G392" s="59" t="inlineStr">
        <is>
          <t>Plumbing(PS)</t>
        </is>
      </c>
      <c r="H392" s="59" t="inlineStr">
        <is>
          <t>Gas Station/Car Wash/Repair Garage</t>
        </is>
      </c>
      <c r="I392" s="59" t="inlineStr">
        <is>
          <t>under inspection</t>
        </is>
      </c>
      <c r="J392" s="63" t="n">
        <v>42306</v>
      </c>
      <c r="K392" s="63" t="n">
        <v>42314</v>
      </c>
      <c r="L392" s="63" t="n"/>
      <c r="M392" s="70" t="n">
        <v>1300</v>
      </c>
      <c r="N392" s="59" t="n"/>
      <c r="O392" s="64" t="n"/>
      <c r="P392" s="59" t="n"/>
      <c r="Q392" s="65" t="inlineStr">
        <is>
          <t>INSTALL PREMISE BACKFLOW DEVICE</t>
        </is>
      </c>
      <c r="R392" s="61" t="inlineStr">
        <is>
          <t>Map</t>
        </is>
      </c>
      <c r="S392" s="61" t="inlineStr">
        <is>
          <t>Raw data</t>
        </is>
      </c>
    </row>
    <row r="393" ht="16" customHeight="1">
      <c r="A393" s="59" t="inlineStr">
        <is>
          <t>65 Bristol Ave</t>
        </is>
      </c>
      <c r="B393" s="60" t="n">
        <v>243</v>
      </c>
      <c r="C393" s="59" t="inlineStr">
        <is>
          <t>7 Brandon Ave</t>
        </is>
      </c>
      <c r="D393" s="59" t="inlineStr">
        <is>
          <t>18 265405</t>
        </is>
      </c>
      <c r="E393" s="61" t="inlineStr">
        <is>
          <t>Building records request</t>
        </is>
      </c>
      <c r="F393" s="59" t="inlineStr">
        <is>
          <t>Other</t>
        </is>
      </c>
      <c r="G393" s="59" t="inlineStr">
        <is>
          <t>Drain and Site Service</t>
        </is>
      </c>
      <c r="H393" s="59" t="inlineStr">
        <is>
          <t>SFD - Detached</t>
        </is>
      </c>
      <c r="I393" s="59" t="inlineStr">
        <is>
          <t>closed</t>
        </is>
      </c>
      <c r="J393" s="63" t="n">
        <v>43440</v>
      </c>
      <c r="K393" s="63" t="n">
        <v>43444</v>
      </c>
      <c r="L393" s="63" t="n">
        <v>43452</v>
      </c>
      <c r="M393" s="70" t="n"/>
      <c r="N393" s="59" t="inlineStr">
        <is>
          <t>Not declared</t>
        </is>
      </c>
      <c r="O393" s="64" t="n"/>
      <c r="P393" s="59" t="n"/>
      <c r="Q393" s="65" t="inlineStr">
        <is>
          <t>BACKWATER VALVE AND SUMP PUMP</t>
        </is>
      </c>
      <c r="R393" s="61" t="inlineStr">
        <is>
          <t>Map</t>
        </is>
      </c>
      <c r="S393" s="61" t="inlineStr">
        <is>
          <t>Raw data</t>
        </is>
      </c>
    </row>
    <row r="394" ht="42" customHeight="1">
      <c r="A394" s="59" t="inlineStr">
        <is>
          <t>65 Bristol Ave</t>
        </is>
      </c>
      <c r="B394" s="60" t="n">
        <v>248</v>
      </c>
      <c r="C394" s="59" t="inlineStr">
        <is>
          <t>12 Beaver Ave</t>
        </is>
      </c>
      <c r="D394" s="59" t="inlineStr">
        <is>
          <t>20 113234</t>
        </is>
      </c>
      <c r="E394" s="61" t="inlineStr">
        <is>
          <t>Building records request</t>
        </is>
      </c>
      <c r="F394" s="59" t="inlineStr">
        <is>
          <t>Addition or alteration</t>
        </is>
      </c>
      <c r="G394" s="59" t="inlineStr">
        <is>
          <t>Mechanical(MS); Plumbing(PS); Small Residential Projects</t>
        </is>
      </c>
      <c r="H394" s="59" t="inlineStr">
        <is>
          <t>SFD - Semi-Detached</t>
        </is>
      </c>
      <c r="I394" s="59" t="inlineStr">
        <is>
          <t>closed</t>
        </is>
      </c>
      <c r="J394" s="63" t="n">
        <v>43948</v>
      </c>
      <c r="K394" s="63" t="n">
        <v>43952</v>
      </c>
      <c r="L394" s="63" t="n">
        <v>44035</v>
      </c>
      <c r="M394" s="70" t="n">
        <v>100000</v>
      </c>
      <c r="N394" s="59" t="n"/>
      <c r="O394" s="64" t="n"/>
      <c r="P394" s="59" t="n"/>
      <c r="Q394" s="65" t="inlineStr">
        <is>
          <t>Rev 01: Revision to the basement bathroom and laundry locationPlumbing - Interior alterations to the ground &amp; second floor for existing single family dwelling</t>
        </is>
      </c>
      <c r="R394" s="61" t="inlineStr">
        <is>
          <t>Map</t>
        </is>
      </c>
      <c r="S394" s="61" t="inlineStr">
        <is>
          <t>Raw data</t>
        </is>
      </c>
    </row>
    <row r="395" ht="29" customHeight="1">
      <c r="A395" s="59" t="inlineStr">
        <is>
          <t>65 Bristol Ave</t>
        </is>
      </c>
      <c r="B395" s="60" t="n">
        <v>248</v>
      </c>
      <c r="C395" s="59" t="inlineStr">
        <is>
          <t>15 Beaver Ave</t>
        </is>
      </c>
      <c r="D395" s="59" t="inlineStr">
        <is>
          <t>25 179161</t>
        </is>
      </c>
      <c r="E395" s="61" t="inlineStr">
        <is>
          <t>Check permit status</t>
        </is>
      </c>
      <c r="F395" s="59" t="inlineStr">
        <is>
          <t>Addition or alteration</t>
        </is>
      </c>
      <c r="G395" s="59" t="inlineStr">
        <is>
          <t>Small Residential Projects</t>
        </is>
      </c>
      <c r="H395" s="59" t="inlineStr">
        <is>
          <t>SFD - Semi-Detached</t>
        </is>
      </c>
      <c r="I395" s="59" t="inlineStr">
        <is>
          <t>under inspection</t>
        </is>
      </c>
      <c r="J395" s="63" t="n">
        <v>45826</v>
      </c>
      <c r="K395" s="63" t="n">
        <v>45833</v>
      </c>
      <c r="L395" s="63" t="n"/>
      <c r="M395" s="70" t="n"/>
      <c r="N395" s="59" t="inlineStr">
        <is>
          <t>Unreliable (zero or out of band)</t>
        </is>
      </c>
      <c r="O395" s="64" t="n"/>
      <c r="P395" s="59" t="n"/>
      <c r="Q395" s="65" t="inlineStr">
        <is>
          <t>Administrative Party wall permit for work at 17 Beaver Avenue.See also 25-179152 BLD 00 SR</t>
        </is>
      </c>
      <c r="R395" s="61" t="inlineStr">
        <is>
          <t>Map</t>
        </is>
      </c>
      <c r="S395" s="61" t="inlineStr">
        <is>
          <t>Raw data</t>
        </is>
      </c>
    </row>
    <row r="396" ht="16" customHeight="1">
      <c r="A396" s="59" t="inlineStr">
        <is>
          <t>65 Bristol Ave</t>
        </is>
      </c>
      <c r="B396" s="60" t="n">
        <v>249</v>
      </c>
      <c r="C396" s="59" t="inlineStr">
        <is>
          <t>1383 Davenport Rd</t>
        </is>
      </c>
      <c r="D396" s="59" t="inlineStr">
        <is>
          <t>17 238798</t>
        </is>
      </c>
      <c r="E396" s="61" t="inlineStr">
        <is>
          <t>Building records request</t>
        </is>
      </c>
      <c r="F396" s="59" t="inlineStr">
        <is>
          <t>Other</t>
        </is>
      </c>
      <c r="G396" s="59" t="inlineStr">
        <is>
          <t>Plumbing(PS)</t>
        </is>
      </c>
      <c r="H396" s="59" t="inlineStr">
        <is>
          <t>Restaurant 30 Seats or Less</t>
        </is>
      </c>
      <c r="I396" s="59" t="inlineStr">
        <is>
          <t>closed</t>
        </is>
      </c>
      <c r="J396" s="63" t="n">
        <v>43004</v>
      </c>
      <c r="K396" s="63" t="n">
        <v>43004</v>
      </c>
      <c r="L396" s="63" t="n">
        <v>43027</v>
      </c>
      <c r="M396" s="70" t="n">
        <v>2295</v>
      </c>
      <c r="N396" s="59" t="n"/>
      <c r="O396" s="64" t="n"/>
      <c r="P396" s="59" t="n"/>
      <c r="Q396" s="65" t="inlineStr">
        <is>
          <t>Proposed installation of backflow prevention device.</t>
        </is>
      </c>
      <c r="R396" s="61" t="inlineStr">
        <is>
          <t>Map</t>
        </is>
      </c>
      <c r="S396" s="61" t="inlineStr">
        <is>
          <t>Raw data</t>
        </is>
      </c>
    </row>
  </sheetData>
  <mergeCells count="2">
    <mergeCell ref="A2:S2"/>
    <mergeCell ref="A1:S1"/>
  </mergeCells>
  <hyperlinks>
    <hyperlink ref="A3" location="'Summary'!A1" display="← Summary"/>
    <hyperlink xmlns:r="http://schemas.openxmlformats.org/officeDocument/2006/relationships" ref="E5" r:id="rId1"/>
    <hyperlink xmlns:r="http://schemas.openxmlformats.org/officeDocument/2006/relationships" ref="R5" r:id="rId2"/>
    <hyperlink xmlns:r="http://schemas.openxmlformats.org/officeDocument/2006/relationships" ref="S5" r:id="rId3"/>
    <hyperlink xmlns:r="http://schemas.openxmlformats.org/officeDocument/2006/relationships" ref="E6" r:id="rId4"/>
    <hyperlink xmlns:r="http://schemas.openxmlformats.org/officeDocument/2006/relationships" ref="R6" r:id="rId5"/>
    <hyperlink xmlns:r="http://schemas.openxmlformats.org/officeDocument/2006/relationships" ref="S6" r:id="rId6"/>
    <hyperlink xmlns:r="http://schemas.openxmlformats.org/officeDocument/2006/relationships" ref="E7" r:id="rId7"/>
    <hyperlink xmlns:r="http://schemas.openxmlformats.org/officeDocument/2006/relationships" ref="R7" r:id="rId8"/>
    <hyperlink xmlns:r="http://schemas.openxmlformats.org/officeDocument/2006/relationships" ref="S7" r:id="rId9"/>
    <hyperlink xmlns:r="http://schemas.openxmlformats.org/officeDocument/2006/relationships" ref="E8" r:id="rId10"/>
    <hyperlink xmlns:r="http://schemas.openxmlformats.org/officeDocument/2006/relationships" ref="R8" r:id="rId11"/>
    <hyperlink xmlns:r="http://schemas.openxmlformats.org/officeDocument/2006/relationships" ref="S8" r:id="rId12"/>
    <hyperlink xmlns:r="http://schemas.openxmlformats.org/officeDocument/2006/relationships" ref="E9" r:id="rId13"/>
    <hyperlink xmlns:r="http://schemas.openxmlformats.org/officeDocument/2006/relationships" ref="R9" r:id="rId14"/>
    <hyperlink xmlns:r="http://schemas.openxmlformats.org/officeDocument/2006/relationships" ref="S9" r:id="rId15"/>
    <hyperlink xmlns:r="http://schemas.openxmlformats.org/officeDocument/2006/relationships" ref="E10" r:id="rId16"/>
    <hyperlink xmlns:r="http://schemas.openxmlformats.org/officeDocument/2006/relationships" ref="R10" r:id="rId17"/>
    <hyperlink xmlns:r="http://schemas.openxmlformats.org/officeDocument/2006/relationships" ref="S10" r:id="rId18"/>
    <hyperlink xmlns:r="http://schemas.openxmlformats.org/officeDocument/2006/relationships" ref="E11" r:id="rId19"/>
    <hyperlink xmlns:r="http://schemas.openxmlformats.org/officeDocument/2006/relationships" ref="R11" r:id="rId20"/>
    <hyperlink xmlns:r="http://schemas.openxmlformats.org/officeDocument/2006/relationships" ref="S11" r:id="rId21"/>
    <hyperlink xmlns:r="http://schemas.openxmlformats.org/officeDocument/2006/relationships" ref="E12" r:id="rId22"/>
    <hyperlink xmlns:r="http://schemas.openxmlformats.org/officeDocument/2006/relationships" ref="R12" r:id="rId23"/>
    <hyperlink xmlns:r="http://schemas.openxmlformats.org/officeDocument/2006/relationships" ref="S12" r:id="rId24"/>
    <hyperlink xmlns:r="http://schemas.openxmlformats.org/officeDocument/2006/relationships" ref="E13" r:id="rId25"/>
    <hyperlink xmlns:r="http://schemas.openxmlformats.org/officeDocument/2006/relationships" ref="R13" r:id="rId26"/>
    <hyperlink xmlns:r="http://schemas.openxmlformats.org/officeDocument/2006/relationships" ref="S13" r:id="rId27"/>
    <hyperlink xmlns:r="http://schemas.openxmlformats.org/officeDocument/2006/relationships" ref="E14" r:id="rId28"/>
    <hyperlink xmlns:r="http://schemas.openxmlformats.org/officeDocument/2006/relationships" ref="R14" r:id="rId29"/>
    <hyperlink xmlns:r="http://schemas.openxmlformats.org/officeDocument/2006/relationships" ref="S14" r:id="rId30"/>
    <hyperlink xmlns:r="http://schemas.openxmlformats.org/officeDocument/2006/relationships" ref="E15" r:id="rId31"/>
    <hyperlink xmlns:r="http://schemas.openxmlformats.org/officeDocument/2006/relationships" ref="R15" r:id="rId32"/>
    <hyperlink xmlns:r="http://schemas.openxmlformats.org/officeDocument/2006/relationships" ref="S15" r:id="rId33"/>
    <hyperlink xmlns:r="http://schemas.openxmlformats.org/officeDocument/2006/relationships" ref="E16" r:id="rId34"/>
    <hyperlink xmlns:r="http://schemas.openxmlformats.org/officeDocument/2006/relationships" ref="R16" r:id="rId35"/>
    <hyperlink xmlns:r="http://schemas.openxmlformats.org/officeDocument/2006/relationships" ref="S16" r:id="rId36"/>
    <hyperlink xmlns:r="http://schemas.openxmlformats.org/officeDocument/2006/relationships" ref="E17" r:id="rId37"/>
    <hyperlink xmlns:r="http://schemas.openxmlformats.org/officeDocument/2006/relationships" ref="R17" r:id="rId38"/>
    <hyperlink xmlns:r="http://schemas.openxmlformats.org/officeDocument/2006/relationships" ref="S17" r:id="rId39"/>
    <hyperlink xmlns:r="http://schemas.openxmlformats.org/officeDocument/2006/relationships" ref="E18" r:id="rId40"/>
    <hyperlink xmlns:r="http://schemas.openxmlformats.org/officeDocument/2006/relationships" ref="R18" r:id="rId41"/>
    <hyperlink xmlns:r="http://schemas.openxmlformats.org/officeDocument/2006/relationships" ref="S18" r:id="rId42"/>
    <hyperlink xmlns:r="http://schemas.openxmlformats.org/officeDocument/2006/relationships" ref="E19" r:id="rId43"/>
    <hyperlink xmlns:r="http://schemas.openxmlformats.org/officeDocument/2006/relationships" ref="R19" r:id="rId44"/>
    <hyperlink xmlns:r="http://schemas.openxmlformats.org/officeDocument/2006/relationships" ref="S19" r:id="rId45"/>
    <hyperlink xmlns:r="http://schemas.openxmlformats.org/officeDocument/2006/relationships" ref="E20" r:id="rId46"/>
    <hyperlink xmlns:r="http://schemas.openxmlformats.org/officeDocument/2006/relationships" ref="R20" r:id="rId47"/>
    <hyperlink xmlns:r="http://schemas.openxmlformats.org/officeDocument/2006/relationships" ref="S20" r:id="rId48"/>
    <hyperlink xmlns:r="http://schemas.openxmlformats.org/officeDocument/2006/relationships" ref="E21" r:id="rId49"/>
    <hyperlink xmlns:r="http://schemas.openxmlformats.org/officeDocument/2006/relationships" ref="R21" r:id="rId50"/>
    <hyperlink xmlns:r="http://schemas.openxmlformats.org/officeDocument/2006/relationships" ref="S21" r:id="rId51"/>
    <hyperlink xmlns:r="http://schemas.openxmlformats.org/officeDocument/2006/relationships" ref="E22" r:id="rId52"/>
    <hyperlink xmlns:r="http://schemas.openxmlformats.org/officeDocument/2006/relationships" ref="R22" r:id="rId53"/>
    <hyperlink xmlns:r="http://schemas.openxmlformats.org/officeDocument/2006/relationships" ref="S22" r:id="rId54"/>
    <hyperlink xmlns:r="http://schemas.openxmlformats.org/officeDocument/2006/relationships" ref="E23" r:id="rId55"/>
    <hyperlink xmlns:r="http://schemas.openxmlformats.org/officeDocument/2006/relationships" ref="R23" r:id="rId56"/>
    <hyperlink xmlns:r="http://schemas.openxmlformats.org/officeDocument/2006/relationships" ref="S23" r:id="rId57"/>
    <hyperlink xmlns:r="http://schemas.openxmlformats.org/officeDocument/2006/relationships" ref="E24" r:id="rId58"/>
    <hyperlink xmlns:r="http://schemas.openxmlformats.org/officeDocument/2006/relationships" ref="R24" r:id="rId59"/>
    <hyperlink xmlns:r="http://schemas.openxmlformats.org/officeDocument/2006/relationships" ref="S24" r:id="rId60"/>
    <hyperlink xmlns:r="http://schemas.openxmlformats.org/officeDocument/2006/relationships" ref="E25" r:id="rId61"/>
    <hyperlink xmlns:r="http://schemas.openxmlformats.org/officeDocument/2006/relationships" ref="R25" r:id="rId62"/>
    <hyperlink xmlns:r="http://schemas.openxmlformats.org/officeDocument/2006/relationships" ref="S25" r:id="rId63"/>
    <hyperlink xmlns:r="http://schemas.openxmlformats.org/officeDocument/2006/relationships" ref="E26" r:id="rId64"/>
    <hyperlink xmlns:r="http://schemas.openxmlformats.org/officeDocument/2006/relationships" ref="R26" r:id="rId65"/>
    <hyperlink xmlns:r="http://schemas.openxmlformats.org/officeDocument/2006/relationships" ref="S26" r:id="rId66"/>
    <hyperlink xmlns:r="http://schemas.openxmlformats.org/officeDocument/2006/relationships" ref="E27" r:id="rId67"/>
    <hyperlink xmlns:r="http://schemas.openxmlformats.org/officeDocument/2006/relationships" ref="R27" r:id="rId68"/>
    <hyperlink xmlns:r="http://schemas.openxmlformats.org/officeDocument/2006/relationships" ref="S27" r:id="rId69"/>
    <hyperlink xmlns:r="http://schemas.openxmlformats.org/officeDocument/2006/relationships" ref="E28" r:id="rId70"/>
    <hyperlink xmlns:r="http://schemas.openxmlformats.org/officeDocument/2006/relationships" ref="R28" r:id="rId71"/>
    <hyperlink xmlns:r="http://schemas.openxmlformats.org/officeDocument/2006/relationships" ref="S28" r:id="rId72"/>
    <hyperlink xmlns:r="http://schemas.openxmlformats.org/officeDocument/2006/relationships" ref="E29" r:id="rId73"/>
    <hyperlink xmlns:r="http://schemas.openxmlformats.org/officeDocument/2006/relationships" ref="R29" r:id="rId74"/>
    <hyperlink xmlns:r="http://schemas.openxmlformats.org/officeDocument/2006/relationships" ref="S29" r:id="rId75"/>
    <hyperlink xmlns:r="http://schemas.openxmlformats.org/officeDocument/2006/relationships" ref="E30" r:id="rId76"/>
    <hyperlink xmlns:r="http://schemas.openxmlformats.org/officeDocument/2006/relationships" ref="R30" r:id="rId77"/>
    <hyperlink xmlns:r="http://schemas.openxmlformats.org/officeDocument/2006/relationships" ref="S30" r:id="rId78"/>
    <hyperlink xmlns:r="http://schemas.openxmlformats.org/officeDocument/2006/relationships" ref="E31" r:id="rId79"/>
    <hyperlink xmlns:r="http://schemas.openxmlformats.org/officeDocument/2006/relationships" ref="R31" r:id="rId80"/>
    <hyperlink xmlns:r="http://schemas.openxmlformats.org/officeDocument/2006/relationships" ref="S31" r:id="rId81"/>
    <hyperlink xmlns:r="http://schemas.openxmlformats.org/officeDocument/2006/relationships" ref="E32" r:id="rId82"/>
    <hyperlink xmlns:r="http://schemas.openxmlformats.org/officeDocument/2006/relationships" ref="R32" r:id="rId83"/>
    <hyperlink xmlns:r="http://schemas.openxmlformats.org/officeDocument/2006/relationships" ref="S32" r:id="rId84"/>
    <hyperlink xmlns:r="http://schemas.openxmlformats.org/officeDocument/2006/relationships" ref="E33" r:id="rId85"/>
    <hyperlink xmlns:r="http://schemas.openxmlformats.org/officeDocument/2006/relationships" ref="R33" r:id="rId86"/>
    <hyperlink xmlns:r="http://schemas.openxmlformats.org/officeDocument/2006/relationships" ref="S33" r:id="rId87"/>
    <hyperlink xmlns:r="http://schemas.openxmlformats.org/officeDocument/2006/relationships" ref="E34" r:id="rId88"/>
    <hyperlink xmlns:r="http://schemas.openxmlformats.org/officeDocument/2006/relationships" ref="R34" r:id="rId89"/>
    <hyperlink xmlns:r="http://schemas.openxmlformats.org/officeDocument/2006/relationships" ref="S34" r:id="rId90"/>
    <hyperlink xmlns:r="http://schemas.openxmlformats.org/officeDocument/2006/relationships" ref="E35" r:id="rId91"/>
    <hyperlink xmlns:r="http://schemas.openxmlformats.org/officeDocument/2006/relationships" ref="R35" r:id="rId92"/>
    <hyperlink xmlns:r="http://schemas.openxmlformats.org/officeDocument/2006/relationships" ref="S35" r:id="rId93"/>
    <hyperlink xmlns:r="http://schemas.openxmlformats.org/officeDocument/2006/relationships" ref="E36" r:id="rId94"/>
    <hyperlink xmlns:r="http://schemas.openxmlformats.org/officeDocument/2006/relationships" ref="R36" r:id="rId95"/>
    <hyperlink xmlns:r="http://schemas.openxmlformats.org/officeDocument/2006/relationships" ref="S36" r:id="rId96"/>
    <hyperlink xmlns:r="http://schemas.openxmlformats.org/officeDocument/2006/relationships" ref="E37" r:id="rId97"/>
    <hyperlink xmlns:r="http://schemas.openxmlformats.org/officeDocument/2006/relationships" ref="R37" r:id="rId98"/>
    <hyperlink xmlns:r="http://schemas.openxmlformats.org/officeDocument/2006/relationships" ref="S37" r:id="rId99"/>
    <hyperlink xmlns:r="http://schemas.openxmlformats.org/officeDocument/2006/relationships" ref="E38" r:id="rId100"/>
    <hyperlink xmlns:r="http://schemas.openxmlformats.org/officeDocument/2006/relationships" ref="R38" r:id="rId101"/>
    <hyperlink xmlns:r="http://schemas.openxmlformats.org/officeDocument/2006/relationships" ref="S38" r:id="rId102"/>
    <hyperlink xmlns:r="http://schemas.openxmlformats.org/officeDocument/2006/relationships" ref="E39" r:id="rId103"/>
    <hyperlink xmlns:r="http://schemas.openxmlformats.org/officeDocument/2006/relationships" ref="R39" r:id="rId104"/>
    <hyperlink xmlns:r="http://schemas.openxmlformats.org/officeDocument/2006/relationships" ref="S39" r:id="rId105"/>
    <hyperlink xmlns:r="http://schemas.openxmlformats.org/officeDocument/2006/relationships" ref="E40" r:id="rId106"/>
    <hyperlink xmlns:r="http://schemas.openxmlformats.org/officeDocument/2006/relationships" ref="R40" r:id="rId107"/>
    <hyperlink xmlns:r="http://schemas.openxmlformats.org/officeDocument/2006/relationships" ref="S40" r:id="rId108"/>
    <hyperlink xmlns:r="http://schemas.openxmlformats.org/officeDocument/2006/relationships" ref="E41" r:id="rId109"/>
    <hyperlink xmlns:r="http://schemas.openxmlformats.org/officeDocument/2006/relationships" ref="R41" r:id="rId110"/>
    <hyperlink xmlns:r="http://schemas.openxmlformats.org/officeDocument/2006/relationships" ref="S41" r:id="rId111"/>
    <hyperlink xmlns:r="http://schemas.openxmlformats.org/officeDocument/2006/relationships" ref="E42" r:id="rId112"/>
    <hyperlink xmlns:r="http://schemas.openxmlformats.org/officeDocument/2006/relationships" ref="R42" r:id="rId113"/>
    <hyperlink xmlns:r="http://schemas.openxmlformats.org/officeDocument/2006/relationships" ref="S42" r:id="rId114"/>
    <hyperlink xmlns:r="http://schemas.openxmlformats.org/officeDocument/2006/relationships" ref="E43" r:id="rId115"/>
    <hyperlink xmlns:r="http://schemas.openxmlformats.org/officeDocument/2006/relationships" ref="R43" r:id="rId116"/>
    <hyperlink xmlns:r="http://schemas.openxmlformats.org/officeDocument/2006/relationships" ref="S43" r:id="rId117"/>
    <hyperlink xmlns:r="http://schemas.openxmlformats.org/officeDocument/2006/relationships" ref="E44" r:id="rId118"/>
    <hyperlink xmlns:r="http://schemas.openxmlformats.org/officeDocument/2006/relationships" ref="R44" r:id="rId119"/>
    <hyperlink xmlns:r="http://schemas.openxmlformats.org/officeDocument/2006/relationships" ref="S44" r:id="rId120"/>
    <hyperlink xmlns:r="http://schemas.openxmlformats.org/officeDocument/2006/relationships" ref="E45" r:id="rId121"/>
    <hyperlink xmlns:r="http://schemas.openxmlformats.org/officeDocument/2006/relationships" ref="R45" r:id="rId122"/>
    <hyperlink xmlns:r="http://schemas.openxmlformats.org/officeDocument/2006/relationships" ref="S45" r:id="rId123"/>
    <hyperlink xmlns:r="http://schemas.openxmlformats.org/officeDocument/2006/relationships" ref="E46" r:id="rId124"/>
    <hyperlink xmlns:r="http://schemas.openxmlformats.org/officeDocument/2006/relationships" ref="R46" r:id="rId125"/>
    <hyperlink xmlns:r="http://schemas.openxmlformats.org/officeDocument/2006/relationships" ref="S46" r:id="rId126"/>
    <hyperlink xmlns:r="http://schemas.openxmlformats.org/officeDocument/2006/relationships" ref="E47" r:id="rId127"/>
    <hyperlink xmlns:r="http://schemas.openxmlformats.org/officeDocument/2006/relationships" ref="R47" r:id="rId128"/>
    <hyperlink xmlns:r="http://schemas.openxmlformats.org/officeDocument/2006/relationships" ref="S47" r:id="rId129"/>
    <hyperlink xmlns:r="http://schemas.openxmlformats.org/officeDocument/2006/relationships" ref="E48" r:id="rId130"/>
    <hyperlink xmlns:r="http://schemas.openxmlformats.org/officeDocument/2006/relationships" ref="R48" r:id="rId131"/>
    <hyperlink xmlns:r="http://schemas.openxmlformats.org/officeDocument/2006/relationships" ref="S48" r:id="rId132"/>
    <hyperlink xmlns:r="http://schemas.openxmlformats.org/officeDocument/2006/relationships" ref="E49" r:id="rId133"/>
    <hyperlink xmlns:r="http://schemas.openxmlformats.org/officeDocument/2006/relationships" ref="R49" r:id="rId134"/>
    <hyperlink xmlns:r="http://schemas.openxmlformats.org/officeDocument/2006/relationships" ref="S49" r:id="rId135"/>
    <hyperlink xmlns:r="http://schemas.openxmlformats.org/officeDocument/2006/relationships" ref="E50" r:id="rId136"/>
    <hyperlink xmlns:r="http://schemas.openxmlformats.org/officeDocument/2006/relationships" ref="R50" r:id="rId137"/>
    <hyperlink xmlns:r="http://schemas.openxmlformats.org/officeDocument/2006/relationships" ref="S50" r:id="rId138"/>
    <hyperlink xmlns:r="http://schemas.openxmlformats.org/officeDocument/2006/relationships" ref="E51" r:id="rId139"/>
    <hyperlink xmlns:r="http://schemas.openxmlformats.org/officeDocument/2006/relationships" ref="R51" r:id="rId140"/>
    <hyperlink xmlns:r="http://schemas.openxmlformats.org/officeDocument/2006/relationships" ref="S51" r:id="rId141"/>
    <hyperlink xmlns:r="http://schemas.openxmlformats.org/officeDocument/2006/relationships" ref="E52" r:id="rId142"/>
    <hyperlink xmlns:r="http://schemas.openxmlformats.org/officeDocument/2006/relationships" ref="R52" r:id="rId143"/>
    <hyperlink xmlns:r="http://schemas.openxmlformats.org/officeDocument/2006/relationships" ref="S52" r:id="rId144"/>
    <hyperlink xmlns:r="http://schemas.openxmlformats.org/officeDocument/2006/relationships" ref="E53" r:id="rId145"/>
    <hyperlink xmlns:r="http://schemas.openxmlformats.org/officeDocument/2006/relationships" ref="R53" r:id="rId146"/>
    <hyperlink xmlns:r="http://schemas.openxmlformats.org/officeDocument/2006/relationships" ref="S53" r:id="rId147"/>
    <hyperlink xmlns:r="http://schemas.openxmlformats.org/officeDocument/2006/relationships" ref="E54" r:id="rId148"/>
    <hyperlink xmlns:r="http://schemas.openxmlformats.org/officeDocument/2006/relationships" ref="R54" r:id="rId149"/>
    <hyperlink xmlns:r="http://schemas.openxmlformats.org/officeDocument/2006/relationships" ref="S54" r:id="rId150"/>
    <hyperlink xmlns:r="http://schemas.openxmlformats.org/officeDocument/2006/relationships" ref="E55" r:id="rId151"/>
    <hyperlink xmlns:r="http://schemas.openxmlformats.org/officeDocument/2006/relationships" ref="R55" r:id="rId152"/>
    <hyperlink xmlns:r="http://schemas.openxmlformats.org/officeDocument/2006/relationships" ref="S55" r:id="rId153"/>
    <hyperlink xmlns:r="http://schemas.openxmlformats.org/officeDocument/2006/relationships" ref="E56" r:id="rId154"/>
    <hyperlink xmlns:r="http://schemas.openxmlformats.org/officeDocument/2006/relationships" ref="R56" r:id="rId155"/>
    <hyperlink xmlns:r="http://schemas.openxmlformats.org/officeDocument/2006/relationships" ref="S56" r:id="rId156"/>
    <hyperlink xmlns:r="http://schemas.openxmlformats.org/officeDocument/2006/relationships" ref="E57" r:id="rId157"/>
    <hyperlink xmlns:r="http://schemas.openxmlformats.org/officeDocument/2006/relationships" ref="R57" r:id="rId158"/>
    <hyperlink xmlns:r="http://schemas.openxmlformats.org/officeDocument/2006/relationships" ref="S57" r:id="rId159"/>
    <hyperlink xmlns:r="http://schemas.openxmlformats.org/officeDocument/2006/relationships" ref="E58" r:id="rId160"/>
    <hyperlink xmlns:r="http://schemas.openxmlformats.org/officeDocument/2006/relationships" ref="R58" r:id="rId161"/>
    <hyperlink xmlns:r="http://schemas.openxmlformats.org/officeDocument/2006/relationships" ref="S58" r:id="rId162"/>
    <hyperlink xmlns:r="http://schemas.openxmlformats.org/officeDocument/2006/relationships" ref="E59" r:id="rId163"/>
    <hyperlink xmlns:r="http://schemas.openxmlformats.org/officeDocument/2006/relationships" ref="R59" r:id="rId164"/>
    <hyperlink xmlns:r="http://schemas.openxmlformats.org/officeDocument/2006/relationships" ref="S59" r:id="rId165"/>
    <hyperlink xmlns:r="http://schemas.openxmlformats.org/officeDocument/2006/relationships" ref="E60" r:id="rId166"/>
    <hyperlink xmlns:r="http://schemas.openxmlformats.org/officeDocument/2006/relationships" ref="R60" r:id="rId167"/>
    <hyperlink xmlns:r="http://schemas.openxmlformats.org/officeDocument/2006/relationships" ref="S60" r:id="rId168"/>
    <hyperlink xmlns:r="http://schemas.openxmlformats.org/officeDocument/2006/relationships" ref="E61" r:id="rId169"/>
    <hyperlink xmlns:r="http://schemas.openxmlformats.org/officeDocument/2006/relationships" ref="R61" r:id="rId170"/>
    <hyperlink xmlns:r="http://schemas.openxmlformats.org/officeDocument/2006/relationships" ref="S61" r:id="rId171"/>
    <hyperlink xmlns:r="http://schemas.openxmlformats.org/officeDocument/2006/relationships" ref="E62" r:id="rId172"/>
    <hyperlink xmlns:r="http://schemas.openxmlformats.org/officeDocument/2006/relationships" ref="R62" r:id="rId173"/>
    <hyperlink xmlns:r="http://schemas.openxmlformats.org/officeDocument/2006/relationships" ref="S62" r:id="rId174"/>
    <hyperlink xmlns:r="http://schemas.openxmlformats.org/officeDocument/2006/relationships" ref="E63" r:id="rId175"/>
    <hyperlink xmlns:r="http://schemas.openxmlformats.org/officeDocument/2006/relationships" ref="R63" r:id="rId176"/>
    <hyperlink xmlns:r="http://schemas.openxmlformats.org/officeDocument/2006/relationships" ref="S63" r:id="rId177"/>
    <hyperlink xmlns:r="http://schemas.openxmlformats.org/officeDocument/2006/relationships" ref="E64" r:id="rId178"/>
    <hyperlink xmlns:r="http://schemas.openxmlformats.org/officeDocument/2006/relationships" ref="R64" r:id="rId179"/>
    <hyperlink xmlns:r="http://schemas.openxmlformats.org/officeDocument/2006/relationships" ref="S64" r:id="rId180"/>
    <hyperlink xmlns:r="http://schemas.openxmlformats.org/officeDocument/2006/relationships" ref="E65" r:id="rId181"/>
    <hyperlink xmlns:r="http://schemas.openxmlformats.org/officeDocument/2006/relationships" ref="R65" r:id="rId182"/>
    <hyperlink xmlns:r="http://schemas.openxmlformats.org/officeDocument/2006/relationships" ref="S65" r:id="rId183"/>
    <hyperlink xmlns:r="http://schemas.openxmlformats.org/officeDocument/2006/relationships" ref="E66" r:id="rId184"/>
    <hyperlink xmlns:r="http://schemas.openxmlformats.org/officeDocument/2006/relationships" ref="R66" r:id="rId185"/>
    <hyperlink xmlns:r="http://schemas.openxmlformats.org/officeDocument/2006/relationships" ref="S66" r:id="rId186"/>
    <hyperlink xmlns:r="http://schemas.openxmlformats.org/officeDocument/2006/relationships" ref="E67" r:id="rId187"/>
    <hyperlink xmlns:r="http://schemas.openxmlformats.org/officeDocument/2006/relationships" ref="R67" r:id="rId188"/>
    <hyperlink xmlns:r="http://schemas.openxmlformats.org/officeDocument/2006/relationships" ref="S67" r:id="rId189"/>
    <hyperlink xmlns:r="http://schemas.openxmlformats.org/officeDocument/2006/relationships" ref="E68" r:id="rId190"/>
    <hyperlink xmlns:r="http://schemas.openxmlformats.org/officeDocument/2006/relationships" ref="R68" r:id="rId191"/>
    <hyperlink xmlns:r="http://schemas.openxmlformats.org/officeDocument/2006/relationships" ref="S68" r:id="rId192"/>
    <hyperlink xmlns:r="http://schemas.openxmlformats.org/officeDocument/2006/relationships" ref="E69" r:id="rId193"/>
    <hyperlink xmlns:r="http://schemas.openxmlformats.org/officeDocument/2006/relationships" ref="R69" r:id="rId194"/>
    <hyperlink xmlns:r="http://schemas.openxmlformats.org/officeDocument/2006/relationships" ref="S69" r:id="rId195"/>
    <hyperlink xmlns:r="http://schemas.openxmlformats.org/officeDocument/2006/relationships" ref="E70" r:id="rId196"/>
    <hyperlink xmlns:r="http://schemas.openxmlformats.org/officeDocument/2006/relationships" ref="R70" r:id="rId197"/>
    <hyperlink xmlns:r="http://schemas.openxmlformats.org/officeDocument/2006/relationships" ref="S70" r:id="rId198"/>
    <hyperlink xmlns:r="http://schemas.openxmlformats.org/officeDocument/2006/relationships" ref="E71" r:id="rId199"/>
    <hyperlink xmlns:r="http://schemas.openxmlformats.org/officeDocument/2006/relationships" ref="R71" r:id="rId200"/>
    <hyperlink xmlns:r="http://schemas.openxmlformats.org/officeDocument/2006/relationships" ref="S71" r:id="rId201"/>
    <hyperlink xmlns:r="http://schemas.openxmlformats.org/officeDocument/2006/relationships" ref="E72" r:id="rId202"/>
    <hyperlink xmlns:r="http://schemas.openxmlformats.org/officeDocument/2006/relationships" ref="R72" r:id="rId203"/>
    <hyperlink xmlns:r="http://schemas.openxmlformats.org/officeDocument/2006/relationships" ref="S72" r:id="rId204"/>
    <hyperlink xmlns:r="http://schemas.openxmlformats.org/officeDocument/2006/relationships" ref="E73" r:id="rId205"/>
    <hyperlink xmlns:r="http://schemas.openxmlformats.org/officeDocument/2006/relationships" ref="R73" r:id="rId206"/>
    <hyperlink xmlns:r="http://schemas.openxmlformats.org/officeDocument/2006/relationships" ref="S73" r:id="rId207"/>
    <hyperlink xmlns:r="http://schemas.openxmlformats.org/officeDocument/2006/relationships" ref="E74" r:id="rId208"/>
    <hyperlink xmlns:r="http://schemas.openxmlformats.org/officeDocument/2006/relationships" ref="R74" r:id="rId209"/>
    <hyperlink xmlns:r="http://schemas.openxmlformats.org/officeDocument/2006/relationships" ref="S74" r:id="rId210"/>
    <hyperlink xmlns:r="http://schemas.openxmlformats.org/officeDocument/2006/relationships" ref="E75" r:id="rId211"/>
    <hyperlink xmlns:r="http://schemas.openxmlformats.org/officeDocument/2006/relationships" ref="R75" r:id="rId212"/>
    <hyperlink xmlns:r="http://schemas.openxmlformats.org/officeDocument/2006/relationships" ref="S75" r:id="rId213"/>
    <hyperlink xmlns:r="http://schemas.openxmlformats.org/officeDocument/2006/relationships" ref="E76" r:id="rId214"/>
    <hyperlink xmlns:r="http://schemas.openxmlformats.org/officeDocument/2006/relationships" ref="R76" r:id="rId215"/>
    <hyperlink xmlns:r="http://schemas.openxmlformats.org/officeDocument/2006/relationships" ref="S76" r:id="rId216"/>
    <hyperlink xmlns:r="http://schemas.openxmlformats.org/officeDocument/2006/relationships" ref="E77" r:id="rId217"/>
    <hyperlink xmlns:r="http://schemas.openxmlformats.org/officeDocument/2006/relationships" ref="R77" r:id="rId218"/>
    <hyperlink xmlns:r="http://schemas.openxmlformats.org/officeDocument/2006/relationships" ref="S77" r:id="rId219"/>
    <hyperlink xmlns:r="http://schemas.openxmlformats.org/officeDocument/2006/relationships" ref="E78" r:id="rId220"/>
    <hyperlink xmlns:r="http://schemas.openxmlformats.org/officeDocument/2006/relationships" ref="R78" r:id="rId221"/>
    <hyperlink xmlns:r="http://schemas.openxmlformats.org/officeDocument/2006/relationships" ref="S78" r:id="rId222"/>
    <hyperlink xmlns:r="http://schemas.openxmlformats.org/officeDocument/2006/relationships" ref="E79" r:id="rId223"/>
    <hyperlink xmlns:r="http://schemas.openxmlformats.org/officeDocument/2006/relationships" ref="R79" r:id="rId224"/>
    <hyperlink xmlns:r="http://schemas.openxmlformats.org/officeDocument/2006/relationships" ref="S79" r:id="rId225"/>
    <hyperlink xmlns:r="http://schemas.openxmlformats.org/officeDocument/2006/relationships" ref="E80" r:id="rId226"/>
    <hyperlink xmlns:r="http://schemas.openxmlformats.org/officeDocument/2006/relationships" ref="R80" r:id="rId227"/>
    <hyperlink xmlns:r="http://schemas.openxmlformats.org/officeDocument/2006/relationships" ref="S80" r:id="rId228"/>
    <hyperlink xmlns:r="http://schemas.openxmlformats.org/officeDocument/2006/relationships" ref="E81" r:id="rId229"/>
    <hyperlink xmlns:r="http://schemas.openxmlformats.org/officeDocument/2006/relationships" ref="R81" r:id="rId230"/>
    <hyperlink xmlns:r="http://schemas.openxmlformats.org/officeDocument/2006/relationships" ref="S81" r:id="rId231"/>
    <hyperlink xmlns:r="http://schemas.openxmlformats.org/officeDocument/2006/relationships" ref="E82" r:id="rId232"/>
    <hyperlink xmlns:r="http://schemas.openxmlformats.org/officeDocument/2006/relationships" ref="R82" r:id="rId233"/>
    <hyperlink xmlns:r="http://schemas.openxmlformats.org/officeDocument/2006/relationships" ref="S82" r:id="rId234"/>
    <hyperlink xmlns:r="http://schemas.openxmlformats.org/officeDocument/2006/relationships" ref="E83" r:id="rId235"/>
    <hyperlink xmlns:r="http://schemas.openxmlformats.org/officeDocument/2006/relationships" ref="R83" r:id="rId236"/>
    <hyperlink xmlns:r="http://schemas.openxmlformats.org/officeDocument/2006/relationships" ref="S83" r:id="rId237"/>
    <hyperlink xmlns:r="http://schemas.openxmlformats.org/officeDocument/2006/relationships" ref="E84" r:id="rId238"/>
    <hyperlink xmlns:r="http://schemas.openxmlformats.org/officeDocument/2006/relationships" ref="R84" r:id="rId239"/>
    <hyperlink xmlns:r="http://schemas.openxmlformats.org/officeDocument/2006/relationships" ref="S84" r:id="rId240"/>
    <hyperlink xmlns:r="http://schemas.openxmlformats.org/officeDocument/2006/relationships" ref="E85" r:id="rId241"/>
    <hyperlink xmlns:r="http://schemas.openxmlformats.org/officeDocument/2006/relationships" ref="R85" r:id="rId242"/>
    <hyperlink xmlns:r="http://schemas.openxmlformats.org/officeDocument/2006/relationships" ref="S85" r:id="rId243"/>
    <hyperlink xmlns:r="http://schemas.openxmlformats.org/officeDocument/2006/relationships" ref="E86" r:id="rId244"/>
    <hyperlink xmlns:r="http://schemas.openxmlformats.org/officeDocument/2006/relationships" ref="R86" r:id="rId245"/>
    <hyperlink xmlns:r="http://schemas.openxmlformats.org/officeDocument/2006/relationships" ref="S86" r:id="rId246"/>
    <hyperlink xmlns:r="http://schemas.openxmlformats.org/officeDocument/2006/relationships" ref="E87" r:id="rId247"/>
    <hyperlink xmlns:r="http://schemas.openxmlformats.org/officeDocument/2006/relationships" ref="R87" r:id="rId248"/>
    <hyperlink xmlns:r="http://schemas.openxmlformats.org/officeDocument/2006/relationships" ref="S87" r:id="rId249"/>
    <hyperlink xmlns:r="http://schemas.openxmlformats.org/officeDocument/2006/relationships" ref="E88" r:id="rId250"/>
    <hyperlink xmlns:r="http://schemas.openxmlformats.org/officeDocument/2006/relationships" ref="R88" r:id="rId251"/>
    <hyperlink xmlns:r="http://schemas.openxmlformats.org/officeDocument/2006/relationships" ref="S88" r:id="rId252"/>
    <hyperlink xmlns:r="http://schemas.openxmlformats.org/officeDocument/2006/relationships" ref="E89" r:id="rId253"/>
    <hyperlink xmlns:r="http://schemas.openxmlformats.org/officeDocument/2006/relationships" ref="R89" r:id="rId254"/>
    <hyperlink xmlns:r="http://schemas.openxmlformats.org/officeDocument/2006/relationships" ref="S89" r:id="rId255"/>
    <hyperlink xmlns:r="http://schemas.openxmlformats.org/officeDocument/2006/relationships" ref="E90" r:id="rId256"/>
    <hyperlink xmlns:r="http://schemas.openxmlformats.org/officeDocument/2006/relationships" ref="R90" r:id="rId257"/>
    <hyperlink xmlns:r="http://schemas.openxmlformats.org/officeDocument/2006/relationships" ref="S90" r:id="rId258"/>
    <hyperlink xmlns:r="http://schemas.openxmlformats.org/officeDocument/2006/relationships" ref="E91" r:id="rId259"/>
    <hyperlink xmlns:r="http://schemas.openxmlformats.org/officeDocument/2006/relationships" ref="R91" r:id="rId260"/>
    <hyperlink xmlns:r="http://schemas.openxmlformats.org/officeDocument/2006/relationships" ref="S91" r:id="rId261"/>
    <hyperlink xmlns:r="http://schemas.openxmlformats.org/officeDocument/2006/relationships" ref="E92" r:id="rId262"/>
    <hyperlink xmlns:r="http://schemas.openxmlformats.org/officeDocument/2006/relationships" ref="R92" r:id="rId263"/>
    <hyperlink xmlns:r="http://schemas.openxmlformats.org/officeDocument/2006/relationships" ref="S92" r:id="rId264"/>
    <hyperlink xmlns:r="http://schemas.openxmlformats.org/officeDocument/2006/relationships" ref="E93" r:id="rId265"/>
    <hyperlink xmlns:r="http://schemas.openxmlformats.org/officeDocument/2006/relationships" ref="R93" r:id="rId266"/>
    <hyperlink xmlns:r="http://schemas.openxmlformats.org/officeDocument/2006/relationships" ref="S93" r:id="rId267"/>
    <hyperlink xmlns:r="http://schemas.openxmlformats.org/officeDocument/2006/relationships" ref="E94" r:id="rId268"/>
    <hyperlink xmlns:r="http://schemas.openxmlformats.org/officeDocument/2006/relationships" ref="R94" r:id="rId269"/>
    <hyperlink xmlns:r="http://schemas.openxmlformats.org/officeDocument/2006/relationships" ref="S94" r:id="rId270"/>
    <hyperlink xmlns:r="http://schemas.openxmlformats.org/officeDocument/2006/relationships" ref="E95" r:id="rId271"/>
    <hyperlink xmlns:r="http://schemas.openxmlformats.org/officeDocument/2006/relationships" ref="R95" r:id="rId272"/>
    <hyperlink xmlns:r="http://schemas.openxmlformats.org/officeDocument/2006/relationships" ref="S95" r:id="rId273"/>
    <hyperlink xmlns:r="http://schemas.openxmlformats.org/officeDocument/2006/relationships" ref="E96" r:id="rId274"/>
    <hyperlink xmlns:r="http://schemas.openxmlformats.org/officeDocument/2006/relationships" ref="R96" r:id="rId275"/>
    <hyperlink xmlns:r="http://schemas.openxmlformats.org/officeDocument/2006/relationships" ref="S96" r:id="rId276"/>
    <hyperlink xmlns:r="http://schemas.openxmlformats.org/officeDocument/2006/relationships" ref="E97" r:id="rId277"/>
    <hyperlink xmlns:r="http://schemas.openxmlformats.org/officeDocument/2006/relationships" ref="R97" r:id="rId278"/>
    <hyperlink xmlns:r="http://schemas.openxmlformats.org/officeDocument/2006/relationships" ref="S97" r:id="rId279"/>
    <hyperlink xmlns:r="http://schemas.openxmlformats.org/officeDocument/2006/relationships" ref="E98" r:id="rId280"/>
    <hyperlink xmlns:r="http://schemas.openxmlformats.org/officeDocument/2006/relationships" ref="R98" r:id="rId281"/>
    <hyperlink xmlns:r="http://schemas.openxmlformats.org/officeDocument/2006/relationships" ref="S98" r:id="rId282"/>
    <hyperlink xmlns:r="http://schemas.openxmlformats.org/officeDocument/2006/relationships" ref="E99" r:id="rId283"/>
    <hyperlink xmlns:r="http://schemas.openxmlformats.org/officeDocument/2006/relationships" ref="R99" r:id="rId284"/>
    <hyperlink xmlns:r="http://schemas.openxmlformats.org/officeDocument/2006/relationships" ref="S99" r:id="rId285"/>
    <hyperlink xmlns:r="http://schemas.openxmlformats.org/officeDocument/2006/relationships" ref="E100" r:id="rId286"/>
    <hyperlink xmlns:r="http://schemas.openxmlformats.org/officeDocument/2006/relationships" ref="R100" r:id="rId287"/>
    <hyperlink xmlns:r="http://schemas.openxmlformats.org/officeDocument/2006/relationships" ref="S100" r:id="rId288"/>
    <hyperlink xmlns:r="http://schemas.openxmlformats.org/officeDocument/2006/relationships" ref="E101" r:id="rId289"/>
    <hyperlink xmlns:r="http://schemas.openxmlformats.org/officeDocument/2006/relationships" ref="R101" r:id="rId290"/>
    <hyperlink xmlns:r="http://schemas.openxmlformats.org/officeDocument/2006/relationships" ref="S101" r:id="rId291"/>
    <hyperlink xmlns:r="http://schemas.openxmlformats.org/officeDocument/2006/relationships" ref="E102" r:id="rId292"/>
    <hyperlink xmlns:r="http://schemas.openxmlformats.org/officeDocument/2006/relationships" ref="R102" r:id="rId293"/>
    <hyperlink xmlns:r="http://schemas.openxmlformats.org/officeDocument/2006/relationships" ref="S102" r:id="rId294"/>
    <hyperlink xmlns:r="http://schemas.openxmlformats.org/officeDocument/2006/relationships" ref="E103" r:id="rId295"/>
    <hyperlink xmlns:r="http://schemas.openxmlformats.org/officeDocument/2006/relationships" ref="R103" r:id="rId296"/>
    <hyperlink xmlns:r="http://schemas.openxmlformats.org/officeDocument/2006/relationships" ref="S103" r:id="rId297"/>
    <hyperlink xmlns:r="http://schemas.openxmlformats.org/officeDocument/2006/relationships" ref="E104" r:id="rId298"/>
    <hyperlink xmlns:r="http://schemas.openxmlformats.org/officeDocument/2006/relationships" ref="R104" r:id="rId299"/>
    <hyperlink xmlns:r="http://schemas.openxmlformats.org/officeDocument/2006/relationships" ref="S104" r:id="rId300"/>
    <hyperlink xmlns:r="http://schemas.openxmlformats.org/officeDocument/2006/relationships" ref="E105" r:id="rId301"/>
    <hyperlink xmlns:r="http://schemas.openxmlformats.org/officeDocument/2006/relationships" ref="R105" r:id="rId302"/>
    <hyperlink xmlns:r="http://schemas.openxmlformats.org/officeDocument/2006/relationships" ref="S105" r:id="rId303"/>
    <hyperlink xmlns:r="http://schemas.openxmlformats.org/officeDocument/2006/relationships" ref="E106" r:id="rId304"/>
    <hyperlink xmlns:r="http://schemas.openxmlformats.org/officeDocument/2006/relationships" ref="R106" r:id="rId305"/>
    <hyperlink xmlns:r="http://schemas.openxmlformats.org/officeDocument/2006/relationships" ref="S106" r:id="rId306"/>
    <hyperlink xmlns:r="http://schemas.openxmlformats.org/officeDocument/2006/relationships" ref="E107" r:id="rId307"/>
    <hyperlink xmlns:r="http://schemas.openxmlformats.org/officeDocument/2006/relationships" ref="R107" r:id="rId308"/>
    <hyperlink xmlns:r="http://schemas.openxmlformats.org/officeDocument/2006/relationships" ref="S107" r:id="rId309"/>
    <hyperlink xmlns:r="http://schemas.openxmlformats.org/officeDocument/2006/relationships" ref="E108" r:id="rId310"/>
    <hyperlink xmlns:r="http://schemas.openxmlformats.org/officeDocument/2006/relationships" ref="R108" r:id="rId311"/>
    <hyperlink xmlns:r="http://schemas.openxmlformats.org/officeDocument/2006/relationships" ref="S108" r:id="rId312"/>
    <hyperlink xmlns:r="http://schemas.openxmlformats.org/officeDocument/2006/relationships" ref="E109" r:id="rId313"/>
    <hyperlink xmlns:r="http://schemas.openxmlformats.org/officeDocument/2006/relationships" ref="R109" r:id="rId314"/>
    <hyperlink xmlns:r="http://schemas.openxmlformats.org/officeDocument/2006/relationships" ref="S109" r:id="rId315"/>
    <hyperlink xmlns:r="http://schemas.openxmlformats.org/officeDocument/2006/relationships" ref="E110" r:id="rId316"/>
    <hyperlink xmlns:r="http://schemas.openxmlformats.org/officeDocument/2006/relationships" ref="R110" r:id="rId317"/>
    <hyperlink xmlns:r="http://schemas.openxmlformats.org/officeDocument/2006/relationships" ref="S110" r:id="rId318"/>
    <hyperlink xmlns:r="http://schemas.openxmlformats.org/officeDocument/2006/relationships" ref="E111" r:id="rId319"/>
    <hyperlink xmlns:r="http://schemas.openxmlformats.org/officeDocument/2006/relationships" ref="R111" r:id="rId320"/>
    <hyperlink xmlns:r="http://schemas.openxmlformats.org/officeDocument/2006/relationships" ref="S111" r:id="rId321"/>
    <hyperlink xmlns:r="http://schemas.openxmlformats.org/officeDocument/2006/relationships" ref="E112" r:id="rId322"/>
    <hyperlink xmlns:r="http://schemas.openxmlformats.org/officeDocument/2006/relationships" ref="R112" r:id="rId323"/>
    <hyperlink xmlns:r="http://schemas.openxmlformats.org/officeDocument/2006/relationships" ref="S112" r:id="rId324"/>
    <hyperlink xmlns:r="http://schemas.openxmlformats.org/officeDocument/2006/relationships" ref="E113" r:id="rId325"/>
    <hyperlink xmlns:r="http://schemas.openxmlformats.org/officeDocument/2006/relationships" ref="R113" r:id="rId326"/>
    <hyperlink xmlns:r="http://schemas.openxmlformats.org/officeDocument/2006/relationships" ref="S113" r:id="rId327"/>
    <hyperlink xmlns:r="http://schemas.openxmlformats.org/officeDocument/2006/relationships" ref="E114" r:id="rId328"/>
    <hyperlink xmlns:r="http://schemas.openxmlformats.org/officeDocument/2006/relationships" ref="R114" r:id="rId329"/>
    <hyperlink xmlns:r="http://schemas.openxmlformats.org/officeDocument/2006/relationships" ref="S114" r:id="rId330"/>
    <hyperlink xmlns:r="http://schemas.openxmlformats.org/officeDocument/2006/relationships" ref="E115" r:id="rId331"/>
    <hyperlink xmlns:r="http://schemas.openxmlformats.org/officeDocument/2006/relationships" ref="R115" r:id="rId332"/>
    <hyperlink xmlns:r="http://schemas.openxmlformats.org/officeDocument/2006/relationships" ref="S115" r:id="rId333"/>
    <hyperlink xmlns:r="http://schemas.openxmlformats.org/officeDocument/2006/relationships" ref="E116" r:id="rId334"/>
    <hyperlink xmlns:r="http://schemas.openxmlformats.org/officeDocument/2006/relationships" ref="R116" r:id="rId335"/>
    <hyperlink xmlns:r="http://schemas.openxmlformats.org/officeDocument/2006/relationships" ref="S116" r:id="rId336"/>
    <hyperlink xmlns:r="http://schemas.openxmlformats.org/officeDocument/2006/relationships" ref="E117" r:id="rId337"/>
    <hyperlink xmlns:r="http://schemas.openxmlformats.org/officeDocument/2006/relationships" ref="R117" r:id="rId338"/>
    <hyperlink xmlns:r="http://schemas.openxmlformats.org/officeDocument/2006/relationships" ref="S117" r:id="rId339"/>
    <hyperlink xmlns:r="http://schemas.openxmlformats.org/officeDocument/2006/relationships" ref="E118" r:id="rId340"/>
    <hyperlink xmlns:r="http://schemas.openxmlformats.org/officeDocument/2006/relationships" ref="R118" r:id="rId341"/>
    <hyperlink xmlns:r="http://schemas.openxmlformats.org/officeDocument/2006/relationships" ref="S118" r:id="rId342"/>
    <hyperlink xmlns:r="http://schemas.openxmlformats.org/officeDocument/2006/relationships" ref="E119" r:id="rId343"/>
    <hyperlink xmlns:r="http://schemas.openxmlformats.org/officeDocument/2006/relationships" ref="R119" r:id="rId344"/>
    <hyperlink xmlns:r="http://schemas.openxmlformats.org/officeDocument/2006/relationships" ref="S119" r:id="rId345"/>
    <hyperlink xmlns:r="http://schemas.openxmlformats.org/officeDocument/2006/relationships" ref="E120" r:id="rId346"/>
    <hyperlink xmlns:r="http://schemas.openxmlformats.org/officeDocument/2006/relationships" ref="R120" r:id="rId347"/>
    <hyperlink xmlns:r="http://schemas.openxmlformats.org/officeDocument/2006/relationships" ref="S120" r:id="rId348"/>
    <hyperlink xmlns:r="http://schemas.openxmlformats.org/officeDocument/2006/relationships" ref="E121" r:id="rId349"/>
    <hyperlink xmlns:r="http://schemas.openxmlformats.org/officeDocument/2006/relationships" ref="R121" r:id="rId350"/>
    <hyperlink xmlns:r="http://schemas.openxmlformats.org/officeDocument/2006/relationships" ref="S121" r:id="rId351"/>
    <hyperlink xmlns:r="http://schemas.openxmlformats.org/officeDocument/2006/relationships" ref="E122" r:id="rId352"/>
    <hyperlink xmlns:r="http://schemas.openxmlformats.org/officeDocument/2006/relationships" ref="R122" r:id="rId353"/>
    <hyperlink xmlns:r="http://schemas.openxmlformats.org/officeDocument/2006/relationships" ref="S122" r:id="rId354"/>
    <hyperlink xmlns:r="http://schemas.openxmlformats.org/officeDocument/2006/relationships" ref="E123" r:id="rId355"/>
    <hyperlink xmlns:r="http://schemas.openxmlformats.org/officeDocument/2006/relationships" ref="R123" r:id="rId356"/>
    <hyperlink xmlns:r="http://schemas.openxmlformats.org/officeDocument/2006/relationships" ref="S123" r:id="rId357"/>
    <hyperlink xmlns:r="http://schemas.openxmlformats.org/officeDocument/2006/relationships" ref="E124" r:id="rId358"/>
    <hyperlink xmlns:r="http://schemas.openxmlformats.org/officeDocument/2006/relationships" ref="R124" r:id="rId359"/>
    <hyperlink xmlns:r="http://schemas.openxmlformats.org/officeDocument/2006/relationships" ref="S124" r:id="rId360"/>
    <hyperlink xmlns:r="http://schemas.openxmlformats.org/officeDocument/2006/relationships" ref="E125" r:id="rId361"/>
    <hyperlink xmlns:r="http://schemas.openxmlformats.org/officeDocument/2006/relationships" ref="R125" r:id="rId362"/>
    <hyperlink xmlns:r="http://schemas.openxmlformats.org/officeDocument/2006/relationships" ref="S125" r:id="rId363"/>
    <hyperlink xmlns:r="http://schemas.openxmlformats.org/officeDocument/2006/relationships" ref="E126" r:id="rId364"/>
    <hyperlink xmlns:r="http://schemas.openxmlformats.org/officeDocument/2006/relationships" ref="R126" r:id="rId365"/>
    <hyperlink xmlns:r="http://schemas.openxmlformats.org/officeDocument/2006/relationships" ref="S126" r:id="rId366"/>
    <hyperlink xmlns:r="http://schemas.openxmlformats.org/officeDocument/2006/relationships" ref="E127" r:id="rId367"/>
    <hyperlink xmlns:r="http://schemas.openxmlformats.org/officeDocument/2006/relationships" ref="R127" r:id="rId368"/>
    <hyperlink xmlns:r="http://schemas.openxmlformats.org/officeDocument/2006/relationships" ref="S127" r:id="rId369"/>
    <hyperlink xmlns:r="http://schemas.openxmlformats.org/officeDocument/2006/relationships" ref="E128" r:id="rId370"/>
    <hyperlink xmlns:r="http://schemas.openxmlformats.org/officeDocument/2006/relationships" ref="R128" r:id="rId371"/>
    <hyperlink xmlns:r="http://schemas.openxmlformats.org/officeDocument/2006/relationships" ref="S128" r:id="rId372"/>
    <hyperlink xmlns:r="http://schemas.openxmlformats.org/officeDocument/2006/relationships" ref="E129" r:id="rId373"/>
    <hyperlink xmlns:r="http://schemas.openxmlformats.org/officeDocument/2006/relationships" ref="R129" r:id="rId374"/>
    <hyperlink xmlns:r="http://schemas.openxmlformats.org/officeDocument/2006/relationships" ref="S129" r:id="rId375"/>
    <hyperlink xmlns:r="http://schemas.openxmlformats.org/officeDocument/2006/relationships" ref="E130" r:id="rId376"/>
    <hyperlink xmlns:r="http://schemas.openxmlformats.org/officeDocument/2006/relationships" ref="R130" r:id="rId377"/>
    <hyperlink xmlns:r="http://schemas.openxmlformats.org/officeDocument/2006/relationships" ref="S130" r:id="rId378"/>
    <hyperlink xmlns:r="http://schemas.openxmlformats.org/officeDocument/2006/relationships" ref="E131" r:id="rId379"/>
    <hyperlink xmlns:r="http://schemas.openxmlformats.org/officeDocument/2006/relationships" ref="R131" r:id="rId380"/>
    <hyperlink xmlns:r="http://schemas.openxmlformats.org/officeDocument/2006/relationships" ref="S131" r:id="rId381"/>
    <hyperlink xmlns:r="http://schemas.openxmlformats.org/officeDocument/2006/relationships" ref="E132" r:id="rId382"/>
    <hyperlink xmlns:r="http://schemas.openxmlformats.org/officeDocument/2006/relationships" ref="R132" r:id="rId383"/>
    <hyperlink xmlns:r="http://schemas.openxmlformats.org/officeDocument/2006/relationships" ref="S132" r:id="rId384"/>
    <hyperlink xmlns:r="http://schemas.openxmlformats.org/officeDocument/2006/relationships" ref="E133" r:id="rId385"/>
    <hyperlink xmlns:r="http://schemas.openxmlformats.org/officeDocument/2006/relationships" ref="R133" r:id="rId386"/>
    <hyperlink xmlns:r="http://schemas.openxmlformats.org/officeDocument/2006/relationships" ref="S133" r:id="rId387"/>
    <hyperlink xmlns:r="http://schemas.openxmlformats.org/officeDocument/2006/relationships" ref="E134" r:id="rId388"/>
    <hyperlink xmlns:r="http://schemas.openxmlformats.org/officeDocument/2006/relationships" ref="R134" r:id="rId389"/>
    <hyperlink xmlns:r="http://schemas.openxmlformats.org/officeDocument/2006/relationships" ref="S134" r:id="rId390"/>
    <hyperlink xmlns:r="http://schemas.openxmlformats.org/officeDocument/2006/relationships" ref="E135" r:id="rId391"/>
    <hyperlink xmlns:r="http://schemas.openxmlformats.org/officeDocument/2006/relationships" ref="R135" r:id="rId392"/>
    <hyperlink xmlns:r="http://schemas.openxmlformats.org/officeDocument/2006/relationships" ref="S135" r:id="rId393"/>
    <hyperlink xmlns:r="http://schemas.openxmlformats.org/officeDocument/2006/relationships" ref="E136" r:id="rId394"/>
    <hyperlink xmlns:r="http://schemas.openxmlformats.org/officeDocument/2006/relationships" ref="R136" r:id="rId395"/>
    <hyperlink xmlns:r="http://schemas.openxmlformats.org/officeDocument/2006/relationships" ref="S136" r:id="rId396"/>
    <hyperlink xmlns:r="http://schemas.openxmlformats.org/officeDocument/2006/relationships" ref="E137" r:id="rId397"/>
    <hyperlink xmlns:r="http://schemas.openxmlformats.org/officeDocument/2006/relationships" ref="R137" r:id="rId398"/>
    <hyperlink xmlns:r="http://schemas.openxmlformats.org/officeDocument/2006/relationships" ref="S137" r:id="rId399"/>
    <hyperlink xmlns:r="http://schemas.openxmlformats.org/officeDocument/2006/relationships" ref="E138" r:id="rId400"/>
    <hyperlink xmlns:r="http://schemas.openxmlformats.org/officeDocument/2006/relationships" ref="R138" r:id="rId401"/>
    <hyperlink xmlns:r="http://schemas.openxmlformats.org/officeDocument/2006/relationships" ref="S138" r:id="rId402"/>
    <hyperlink xmlns:r="http://schemas.openxmlformats.org/officeDocument/2006/relationships" ref="E139" r:id="rId403"/>
    <hyperlink xmlns:r="http://schemas.openxmlformats.org/officeDocument/2006/relationships" ref="R139" r:id="rId404"/>
    <hyperlink xmlns:r="http://schemas.openxmlformats.org/officeDocument/2006/relationships" ref="S139" r:id="rId405"/>
    <hyperlink xmlns:r="http://schemas.openxmlformats.org/officeDocument/2006/relationships" ref="E140" r:id="rId406"/>
    <hyperlink xmlns:r="http://schemas.openxmlformats.org/officeDocument/2006/relationships" ref="R140" r:id="rId407"/>
    <hyperlink xmlns:r="http://schemas.openxmlformats.org/officeDocument/2006/relationships" ref="S140" r:id="rId408"/>
    <hyperlink xmlns:r="http://schemas.openxmlformats.org/officeDocument/2006/relationships" ref="E141" r:id="rId409"/>
    <hyperlink xmlns:r="http://schemas.openxmlformats.org/officeDocument/2006/relationships" ref="R141" r:id="rId410"/>
    <hyperlink xmlns:r="http://schemas.openxmlformats.org/officeDocument/2006/relationships" ref="S141" r:id="rId411"/>
    <hyperlink xmlns:r="http://schemas.openxmlformats.org/officeDocument/2006/relationships" ref="E142" r:id="rId412"/>
    <hyperlink xmlns:r="http://schemas.openxmlformats.org/officeDocument/2006/relationships" ref="R142" r:id="rId413"/>
    <hyperlink xmlns:r="http://schemas.openxmlformats.org/officeDocument/2006/relationships" ref="S142" r:id="rId414"/>
    <hyperlink xmlns:r="http://schemas.openxmlformats.org/officeDocument/2006/relationships" ref="E143" r:id="rId415"/>
    <hyperlink xmlns:r="http://schemas.openxmlformats.org/officeDocument/2006/relationships" ref="R143" r:id="rId416"/>
    <hyperlink xmlns:r="http://schemas.openxmlformats.org/officeDocument/2006/relationships" ref="S143" r:id="rId417"/>
    <hyperlink xmlns:r="http://schemas.openxmlformats.org/officeDocument/2006/relationships" ref="E144" r:id="rId418"/>
    <hyperlink xmlns:r="http://schemas.openxmlformats.org/officeDocument/2006/relationships" ref="R144" r:id="rId419"/>
    <hyperlink xmlns:r="http://schemas.openxmlformats.org/officeDocument/2006/relationships" ref="S144" r:id="rId420"/>
    <hyperlink xmlns:r="http://schemas.openxmlformats.org/officeDocument/2006/relationships" ref="E145" r:id="rId421"/>
    <hyperlink xmlns:r="http://schemas.openxmlformats.org/officeDocument/2006/relationships" ref="R145" r:id="rId422"/>
    <hyperlink xmlns:r="http://schemas.openxmlformats.org/officeDocument/2006/relationships" ref="S145" r:id="rId423"/>
    <hyperlink xmlns:r="http://schemas.openxmlformats.org/officeDocument/2006/relationships" ref="E146" r:id="rId424"/>
    <hyperlink xmlns:r="http://schemas.openxmlformats.org/officeDocument/2006/relationships" ref="R146" r:id="rId425"/>
    <hyperlink xmlns:r="http://schemas.openxmlformats.org/officeDocument/2006/relationships" ref="S146" r:id="rId426"/>
    <hyperlink xmlns:r="http://schemas.openxmlformats.org/officeDocument/2006/relationships" ref="E147" r:id="rId427"/>
    <hyperlink xmlns:r="http://schemas.openxmlformats.org/officeDocument/2006/relationships" ref="R147" r:id="rId428"/>
    <hyperlink xmlns:r="http://schemas.openxmlformats.org/officeDocument/2006/relationships" ref="S147" r:id="rId429"/>
    <hyperlink xmlns:r="http://schemas.openxmlformats.org/officeDocument/2006/relationships" ref="E148" r:id="rId430"/>
    <hyperlink xmlns:r="http://schemas.openxmlformats.org/officeDocument/2006/relationships" ref="R148" r:id="rId431"/>
    <hyperlink xmlns:r="http://schemas.openxmlformats.org/officeDocument/2006/relationships" ref="S148" r:id="rId432"/>
    <hyperlink xmlns:r="http://schemas.openxmlformats.org/officeDocument/2006/relationships" ref="E149" r:id="rId433"/>
    <hyperlink xmlns:r="http://schemas.openxmlformats.org/officeDocument/2006/relationships" ref="R149" r:id="rId434"/>
    <hyperlink xmlns:r="http://schemas.openxmlformats.org/officeDocument/2006/relationships" ref="S149" r:id="rId435"/>
    <hyperlink xmlns:r="http://schemas.openxmlformats.org/officeDocument/2006/relationships" ref="E150" r:id="rId436"/>
    <hyperlink xmlns:r="http://schemas.openxmlformats.org/officeDocument/2006/relationships" ref="R150" r:id="rId437"/>
    <hyperlink xmlns:r="http://schemas.openxmlformats.org/officeDocument/2006/relationships" ref="S150" r:id="rId438"/>
    <hyperlink xmlns:r="http://schemas.openxmlformats.org/officeDocument/2006/relationships" ref="E151" r:id="rId439"/>
    <hyperlink xmlns:r="http://schemas.openxmlformats.org/officeDocument/2006/relationships" ref="R151" r:id="rId440"/>
    <hyperlink xmlns:r="http://schemas.openxmlformats.org/officeDocument/2006/relationships" ref="S151" r:id="rId441"/>
    <hyperlink xmlns:r="http://schemas.openxmlformats.org/officeDocument/2006/relationships" ref="E152" r:id="rId442"/>
    <hyperlink xmlns:r="http://schemas.openxmlformats.org/officeDocument/2006/relationships" ref="R152" r:id="rId443"/>
    <hyperlink xmlns:r="http://schemas.openxmlformats.org/officeDocument/2006/relationships" ref="S152" r:id="rId444"/>
    <hyperlink xmlns:r="http://schemas.openxmlformats.org/officeDocument/2006/relationships" ref="E153" r:id="rId445"/>
    <hyperlink xmlns:r="http://schemas.openxmlformats.org/officeDocument/2006/relationships" ref="R153" r:id="rId446"/>
    <hyperlink xmlns:r="http://schemas.openxmlformats.org/officeDocument/2006/relationships" ref="S153" r:id="rId447"/>
    <hyperlink xmlns:r="http://schemas.openxmlformats.org/officeDocument/2006/relationships" ref="E154" r:id="rId448"/>
    <hyperlink xmlns:r="http://schemas.openxmlformats.org/officeDocument/2006/relationships" ref="R154" r:id="rId449"/>
    <hyperlink xmlns:r="http://schemas.openxmlformats.org/officeDocument/2006/relationships" ref="S154" r:id="rId450"/>
    <hyperlink xmlns:r="http://schemas.openxmlformats.org/officeDocument/2006/relationships" ref="E155" r:id="rId451"/>
    <hyperlink xmlns:r="http://schemas.openxmlformats.org/officeDocument/2006/relationships" ref="R155" r:id="rId452"/>
    <hyperlink xmlns:r="http://schemas.openxmlformats.org/officeDocument/2006/relationships" ref="S155" r:id="rId453"/>
    <hyperlink xmlns:r="http://schemas.openxmlformats.org/officeDocument/2006/relationships" ref="E156" r:id="rId454"/>
    <hyperlink xmlns:r="http://schemas.openxmlformats.org/officeDocument/2006/relationships" ref="R156" r:id="rId455"/>
    <hyperlink xmlns:r="http://schemas.openxmlformats.org/officeDocument/2006/relationships" ref="S156" r:id="rId456"/>
    <hyperlink xmlns:r="http://schemas.openxmlformats.org/officeDocument/2006/relationships" ref="E157" r:id="rId457"/>
    <hyperlink xmlns:r="http://schemas.openxmlformats.org/officeDocument/2006/relationships" ref="R157" r:id="rId458"/>
    <hyperlink xmlns:r="http://schemas.openxmlformats.org/officeDocument/2006/relationships" ref="S157" r:id="rId459"/>
    <hyperlink xmlns:r="http://schemas.openxmlformats.org/officeDocument/2006/relationships" ref="E158" r:id="rId460"/>
    <hyperlink xmlns:r="http://schemas.openxmlformats.org/officeDocument/2006/relationships" ref="R158" r:id="rId461"/>
    <hyperlink xmlns:r="http://schemas.openxmlformats.org/officeDocument/2006/relationships" ref="S158" r:id="rId462"/>
    <hyperlink xmlns:r="http://schemas.openxmlformats.org/officeDocument/2006/relationships" ref="E159" r:id="rId463"/>
    <hyperlink xmlns:r="http://schemas.openxmlformats.org/officeDocument/2006/relationships" ref="R159" r:id="rId464"/>
    <hyperlink xmlns:r="http://schemas.openxmlformats.org/officeDocument/2006/relationships" ref="S159" r:id="rId465"/>
    <hyperlink xmlns:r="http://schemas.openxmlformats.org/officeDocument/2006/relationships" ref="E160" r:id="rId466"/>
    <hyperlink xmlns:r="http://schemas.openxmlformats.org/officeDocument/2006/relationships" ref="R160" r:id="rId467"/>
    <hyperlink xmlns:r="http://schemas.openxmlformats.org/officeDocument/2006/relationships" ref="S160" r:id="rId468"/>
    <hyperlink xmlns:r="http://schemas.openxmlformats.org/officeDocument/2006/relationships" ref="E161" r:id="rId469"/>
    <hyperlink xmlns:r="http://schemas.openxmlformats.org/officeDocument/2006/relationships" ref="R161" r:id="rId470"/>
    <hyperlink xmlns:r="http://schemas.openxmlformats.org/officeDocument/2006/relationships" ref="S161" r:id="rId471"/>
    <hyperlink xmlns:r="http://schemas.openxmlformats.org/officeDocument/2006/relationships" ref="E162" r:id="rId472"/>
    <hyperlink xmlns:r="http://schemas.openxmlformats.org/officeDocument/2006/relationships" ref="R162" r:id="rId473"/>
    <hyperlink xmlns:r="http://schemas.openxmlformats.org/officeDocument/2006/relationships" ref="S162" r:id="rId474"/>
    <hyperlink xmlns:r="http://schemas.openxmlformats.org/officeDocument/2006/relationships" ref="E163" r:id="rId475"/>
    <hyperlink xmlns:r="http://schemas.openxmlformats.org/officeDocument/2006/relationships" ref="R163" r:id="rId476"/>
    <hyperlink xmlns:r="http://schemas.openxmlformats.org/officeDocument/2006/relationships" ref="S163" r:id="rId477"/>
    <hyperlink xmlns:r="http://schemas.openxmlformats.org/officeDocument/2006/relationships" ref="E164" r:id="rId478"/>
    <hyperlink xmlns:r="http://schemas.openxmlformats.org/officeDocument/2006/relationships" ref="R164" r:id="rId479"/>
    <hyperlink xmlns:r="http://schemas.openxmlformats.org/officeDocument/2006/relationships" ref="S164" r:id="rId480"/>
    <hyperlink xmlns:r="http://schemas.openxmlformats.org/officeDocument/2006/relationships" ref="E165" r:id="rId481"/>
    <hyperlink xmlns:r="http://schemas.openxmlformats.org/officeDocument/2006/relationships" ref="R165" r:id="rId482"/>
    <hyperlink xmlns:r="http://schemas.openxmlformats.org/officeDocument/2006/relationships" ref="S165" r:id="rId483"/>
    <hyperlink xmlns:r="http://schemas.openxmlformats.org/officeDocument/2006/relationships" ref="E166" r:id="rId484"/>
    <hyperlink xmlns:r="http://schemas.openxmlformats.org/officeDocument/2006/relationships" ref="R166" r:id="rId485"/>
    <hyperlink xmlns:r="http://schemas.openxmlformats.org/officeDocument/2006/relationships" ref="S166" r:id="rId486"/>
    <hyperlink xmlns:r="http://schemas.openxmlformats.org/officeDocument/2006/relationships" ref="E167" r:id="rId487"/>
    <hyperlink xmlns:r="http://schemas.openxmlformats.org/officeDocument/2006/relationships" ref="R167" r:id="rId488"/>
    <hyperlink xmlns:r="http://schemas.openxmlformats.org/officeDocument/2006/relationships" ref="S167" r:id="rId489"/>
    <hyperlink xmlns:r="http://schemas.openxmlformats.org/officeDocument/2006/relationships" ref="E168" r:id="rId490"/>
    <hyperlink xmlns:r="http://schemas.openxmlformats.org/officeDocument/2006/relationships" ref="R168" r:id="rId491"/>
    <hyperlink xmlns:r="http://schemas.openxmlformats.org/officeDocument/2006/relationships" ref="S168" r:id="rId492"/>
    <hyperlink xmlns:r="http://schemas.openxmlformats.org/officeDocument/2006/relationships" ref="E169" r:id="rId493"/>
    <hyperlink xmlns:r="http://schemas.openxmlformats.org/officeDocument/2006/relationships" ref="R169" r:id="rId494"/>
    <hyperlink xmlns:r="http://schemas.openxmlformats.org/officeDocument/2006/relationships" ref="S169" r:id="rId495"/>
    <hyperlink xmlns:r="http://schemas.openxmlformats.org/officeDocument/2006/relationships" ref="E170" r:id="rId496"/>
    <hyperlink xmlns:r="http://schemas.openxmlformats.org/officeDocument/2006/relationships" ref="R170" r:id="rId497"/>
    <hyperlink xmlns:r="http://schemas.openxmlformats.org/officeDocument/2006/relationships" ref="S170" r:id="rId498"/>
    <hyperlink xmlns:r="http://schemas.openxmlformats.org/officeDocument/2006/relationships" ref="E171" r:id="rId499"/>
    <hyperlink xmlns:r="http://schemas.openxmlformats.org/officeDocument/2006/relationships" ref="R171" r:id="rId500"/>
    <hyperlink xmlns:r="http://schemas.openxmlformats.org/officeDocument/2006/relationships" ref="S171" r:id="rId501"/>
    <hyperlink xmlns:r="http://schemas.openxmlformats.org/officeDocument/2006/relationships" ref="E172" r:id="rId502"/>
    <hyperlink xmlns:r="http://schemas.openxmlformats.org/officeDocument/2006/relationships" ref="R172" r:id="rId503"/>
    <hyperlink xmlns:r="http://schemas.openxmlformats.org/officeDocument/2006/relationships" ref="S172" r:id="rId504"/>
    <hyperlink xmlns:r="http://schemas.openxmlformats.org/officeDocument/2006/relationships" ref="E173" r:id="rId505"/>
    <hyperlink xmlns:r="http://schemas.openxmlformats.org/officeDocument/2006/relationships" ref="R173" r:id="rId506"/>
    <hyperlink xmlns:r="http://schemas.openxmlformats.org/officeDocument/2006/relationships" ref="S173" r:id="rId507"/>
    <hyperlink xmlns:r="http://schemas.openxmlformats.org/officeDocument/2006/relationships" ref="E174" r:id="rId508"/>
    <hyperlink xmlns:r="http://schemas.openxmlformats.org/officeDocument/2006/relationships" ref="R174" r:id="rId509"/>
    <hyperlink xmlns:r="http://schemas.openxmlformats.org/officeDocument/2006/relationships" ref="S174" r:id="rId510"/>
    <hyperlink xmlns:r="http://schemas.openxmlformats.org/officeDocument/2006/relationships" ref="E175" r:id="rId511"/>
    <hyperlink xmlns:r="http://schemas.openxmlformats.org/officeDocument/2006/relationships" ref="R175" r:id="rId512"/>
    <hyperlink xmlns:r="http://schemas.openxmlformats.org/officeDocument/2006/relationships" ref="S175" r:id="rId513"/>
    <hyperlink xmlns:r="http://schemas.openxmlformats.org/officeDocument/2006/relationships" ref="E176" r:id="rId514"/>
    <hyperlink xmlns:r="http://schemas.openxmlformats.org/officeDocument/2006/relationships" ref="R176" r:id="rId515"/>
    <hyperlink xmlns:r="http://schemas.openxmlformats.org/officeDocument/2006/relationships" ref="S176" r:id="rId516"/>
    <hyperlink xmlns:r="http://schemas.openxmlformats.org/officeDocument/2006/relationships" ref="E177" r:id="rId517"/>
    <hyperlink xmlns:r="http://schemas.openxmlformats.org/officeDocument/2006/relationships" ref="R177" r:id="rId518"/>
    <hyperlink xmlns:r="http://schemas.openxmlformats.org/officeDocument/2006/relationships" ref="S177" r:id="rId519"/>
    <hyperlink xmlns:r="http://schemas.openxmlformats.org/officeDocument/2006/relationships" ref="E178" r:id="rId520"/>
    <hyperlink xmlns:r="http://schemas.openxmlformats.org/officeDocument/2006/relationships" ref="R178" r:id="rId521"/>
    <hyperlink xmlns:r="http://schemas.openxmlformats.org/officeDocument/2006/relationships" ref="S178" r:id="rId522"/>
    <hyperlink xmlns:r="http://schemas.openxmlformats.org/officeDocument/2006/relationships" ref="E179" r:id="rId523"/>
    <hyperlink xmlns:r="http://schemas.openxmlformats.org/officeDocument/2006/relationships" ref="R179" r:id="rId524"/>
    <hyperlink xmlns:r="http://schemas.openxmlformats.org/officeDocument/2006/relationships" ref="S179" r:id="rId525"/>
    <hyperlink xmlns:r="http://schemas.openxmlformats.org/officeDocument/2006/relationships" ref="E180" r:id="rId526"/>
    <hyperlink xmlns:r="http://schemas.openxmlformats.org/officeDocument/2006/relationships" ref="R180" r:id="rId527"/>
    <hyperlink xmlns:r="http://schemas.openxmlformats.org/officeDocument/2006/relationships" ref="S180" r:id="rId528"/>
    <hyperlink xmlns:r="http://schemas.openxmlformats.org/officeDocument/2006/relationships" ref="E181" r:id="rId529"/>
    <hyperlink xmlns:r="http://schemas.openxmlformats.org/officeDocument/2006/relationships" ref="R181" r:id="rId530"/>
    <hyperlink xmlns:r="http://schemas.openxmlformats.org/officeDocument/2006/relationships" ref="S181" r:id="rId531"/>
    <hyperlink xmlns:r="http://schemas.openxmlformats.org/officeDocument/2006/relationships" ref="E182" r:id="rId532"/>
    <hyperlink xmlns:r="http://schemas.openxmlformats.org/officeDocument/2006/relationships" ref="R182" r:id="rId533"/>
    <hyperlink xmlns:r="http://schemas.openxmlformats.org/officeDocument/2006/relationships" ref="S182" r:id="rId534"/>
    <hyperlink xmlns:r="http://schemas.openxmlformats.org/officeDocument/2006/relationships" ref="E183" r:id="rId535"/>
    <hyperlink xmlns:r="http://schemas.openxmlformats.org/officeDocument/2006/relationships" ref="R183" r:id="rId536"/>
    <hyperlink xmlns:r="http://schemas.openxmlformats.org/officeDocument/2006/relationships" ref="S183" r:id="rId537"/>
    <hyperlink xmlns:r="http://schemas.openxmlformats.org/officeDocument/2006/relationships" ref="E184" r:id="rId538"/>
    <hyperlink xmlns:r="http://schemas.openxmlformats.org/officeDocument/2006/relationships" ref="R184" r:id="rId539"/>
    <hyperlink xmlns:r="http://schemas.openxmlformats.org/officeDocument/2006/relationships" ref="S184" r:id="rId540"/>
    <hyperlink xmlns:r="http://schemas.openxmlformats.org/officeDocument/2006/relationships" ref="E185" r:id="rId541"/>
    <hyperlink xmlns:r="http://schemas.openxmlformats.org/officeDocument/2006/relationships" ref="R185" r:id="rId542"/>
    <hyperlink xmlns:r="http://schemas.openxmlformats.org/officeDocument/2006/relationships" ref="S185" r:id="rId543"/>
    <hyperlink xmlns:r="http://schemas.openxmlformats.org/officeDocument/2006/relationships" ref="E186" r:id="rId544"/>
    <hyperlink xmlns:r="http://schemas.openxmlformats.org/officeDocument/2006/relationships" ref="R186" r:id="rId545"/>
    <hyperlink xmlns:r="http://schemas.openxmlformats.org/officeDocument/2006/relationships" ref="S186" r:id="rId546"/>
    <hyperlink xmlns:r="http://schemas.openxmlformats.org/officeDocument/2006/relationships" ref="E187" r:id="rId547"/>
    <hyperlink xmlns:r="http://schemas.openxmlformats.org/officeDocument/2006/relationships" ref="R187" r:id="rId548"/>
    <hyperlink xmlns:r="http://schemas.openxmlformats.org/officeDocument/2006/relationships" ref="S187" r:id="rId549"/>
    <hyperlink xmlns:r="http://schemas.openxmlformats.org/officeDocument/2006/relationships" ref="E188" r:id="rId550"/>
    <hyperlink xmlns:r="http://schemas.openxmlformats.org/officeDocument/2006/relationships" ref="R188" r:id="rId551"/>
    <hyperlink xmlns:r="http://schemas.openxmlformats.org/officeDocument/2006/relationships" ref="S188" r:id="rId552"/>
    <hyperlink xmlns:r="http://schemas.openxmlformats.org/officeDocument/2006/relationships" ref="E189" r:id="rId553"/>
    <hyperlink xmlns:r="http://schemas.openxmlformats.org/officeDocument/2006/relationships" ref="R189" r:id="rId554"/>
    <hyperlink xmlns:r="http://schemas.openxmlformats.org/officeDocument/2006/relationships" ref="S189" r:id="rId555"/>
    <hyperlink xmlns:r="http://schemas.openxmlformats.org/officeDocument/2006/relationships" ref="E190" r:id="rId556"/>
    <hyperlink xmlns:r="http://schemas.openxmlformats.org/officeDocument/2006/relationships" ref="R190" r:id="rId557"/>
    <hyperlink xmlns:r="http://schemas.openxmlformats.org/officeDocument/2006/relationships" ref="S190" r:id="rId558"/>
    <hyperlink xmlns:r="http://schemas.openxmlformats.org/officeDocument/2006/relationships" ref="E191" r:id="rId559"/>
    <hyperlink xmlns:r="http://schemas.openxmlformats.org/officeDocument/2006/relationships" ref="R191" r:id="rId560"/>
    <hyperlink xmlns:r="http://schemas.openxmlformats.org/officeDocument/2006/relationships" ref="S191" r:id="rId561"/>
    <hyperlink xmlns:r="http://schemas.openxmlformats.org/officeDocument/2006/relationships" ref="E192" r:id="rId562"/>
    <hyperlink xmlns:r="http://schemas.openxmlformats.org/officeDocument/2006/relationships" ref="R192" r:id="rId563"/>
    <hyperlink xmlns:r="http://schemas.openxmlformats.org/officeDocument/2006/relationships" ref="S192" r:id="rId564"/>
    <hyperlink xmlns:r="http://schemas.openxmlformats.org/officeDocument/2006/relationships" ref="E193" r:id="rId565"/>
    <hyperlink xmlns:r="http://schemas.openxmlformats.org/officeDocument/2006/relationships" ref="R193" r:id="rId566"/>
    <hyperlink xmlns:r="http://schemas.openxmlformats.org/officeDocument/2006/relationships" ref="S193" r:id="rId567"/>
    <hyperlink xmlns:r="http://schemas.openxmlformats.org/officeDocument/2006/relationships" ref="E194" r:id="rId568"/>
    <hyperlink xmlns:r="http://schemas.openxmlformats.org/officeDocument/2006/relationships" ref="R194" r:id="rId569"/>
    <hyperlink xmlns:r="http://schemas.openxmlformats.org/officeDocument/2006/relationships" ref="S194" r:id="rId570"/>
    <hyperlink xmlns:r="http://schemas.openxmlformats.org/officeDocument/2006/relationships" ref="E195" r:id="rId571"/>
    <hyperlink xmlns:r="http://schemas.openxmlformats.org/officeDocument/2006/relationships" ref="R195" r:id="rId572"/>
    <hyperlink xmlns:r="http://schemas.openxmlformats.org/officeDocument/2006/relationships" ref="S195" r:id="rId573"/>
    <hyperlink xmlns:r="http://schemas.openxmlformats.org/officeDocument/2006/relationships" ref="E196" r:id="rId574"/>
    <hyperlink xmlns:r="http://schemas.openxmlformats.org/officeDocument/2006/relationships" ref="R196" r:id="rId575"/>
    <hyperlink xmlns:r="http://schemas.openxmlformats.org/officeDocument/2006/relationships" ref="S196" r:id="rId576"/>
    <hyperlink xmlns:r="http://schemas.openxmlformats.org/officeDocument/2006/relationships" ref="E197" r:id="rId577"/>
    <hyperlink xmlns:r="http://schemas.openxmlformats.org/officeDocument/2006/relationships" ref="R197" r:id="rId578"/>
    <hyperlink xmlns:r="http://schemas.openxmlformats.org/officeDocument/2006/relationships" ref="S197" r:id="rId579"/>
    <hyperlink xmlns:r="http://schemas.openxmlformats.org/officeDocument/2006/relationships" ref="E198" r:id="rId580"/>
    <hyperlink xmlns:r="http://schemas.openxmlformats.org/officeDocument/2006/relationships" ref="R198" r:id="rId581"/>
    <hyperlink xmlns:r="http://schemas.openxmlformats.org/officeDocument/2006/relationships" ref="S198" r:id="rId582"/>
    <hyperlink xmlns:r="http://schemas.openxmlformats.org/officeDocument/2006/relationships" ref="E199" r:id="rId583"/>
    <hyperlink xmlns:r="http://schemas.openxmlformats.org/officeDocument/2006/relationships" ref="R199" r:id="rId584"/>
    <hyperlink xmlns:r="http://schemas.openxmlformats.org/officeDocument/2006/relationships" ref="S199" r:id="rId585"/>
    <hyperlink xmlns:r="http://schemas.openxmlformats.org/officeDocument/2006/relationships" ref="E200" r:id="rId586"/>
    <hyperlink xmlns:r="http://schemas.openxmlformats.org/officeDocument/2006/relationships" ref="R200" r:id="rId587"/>
    <hyperlink xmlns:r="http://schemas.openxmlformats.org/officeDocument/2006/relationships" ref="S200" r:id="rId588"/>
    <hyperlink xmlns:r="http://schemas.openxmlformats.org/officeDocument/2006/relationships" ref="E201" r:id="rId589"/>
    <hyperlink xmlns:r="http://schemas.openxmlformats.org/officeDocument/2006/relationships" ref="R201" r:id="rId590"/>
    <hyperlink xmlns:r="http://schemas.openxmlformats.org/officeDocument/2006/relationships" ref="S201" r:id="rId591"/>
    <hyperlink xmlns:r="http://schemas.openxmlformats.org/officeDocument/2006/relationships" ref="E202" r:id="rId592"/>
    <hyperlink xmlns:r="http://schemas.openxmlformats.org/officeDocument/2006/relationships" ref="R202" r:id="rId593"/>
    <hyperlink xmlns:r="http://schemas.openxmlformats.org/officeDocument/2006/relationships" ref="S202" r:id="rId594"/>
    <hyperlink xmlns:r="http://schemas.openxmlformats.org/officeDocument/2006/relationships" ref="E203" r:id="rId595"/>
    <hyperlink xmlns:r="http://schemas.openxmlformats.org/officeDocument/2006/relationships" ref="R203" r:id="rId596"/>
    <hyperlink xmlns:r="http://schemas.openxmlformats.org/officeDocument/2006/relationships" ref="S203" r:id="rId597"/>
    <hyperlink xmlns:r="http://schemas.openxmlformats.org/officeDocument/2006/relationships" ref="E204" r:id="rId598"/>
    <hyperlink xmlns:r="http://schemas.openxmlformats.org/officeDocument/2006/relationships" ref="R204" r:id="rId599"/>
    <hyperlink xmlns:r="http://schemas.openxmlformats.org/officeDocument/2006/relationships" ref="S204" r:id="rId600"/>
    <hyperlink xmlns:r="http://schemas.openxmlformats.org/officeDocument/2006/relationships" ref="E205" r:id="rId601"/>
    <hyperlink xmlns:r="http://schemas.openxmlformats.org/officeDocument/2006/relationships" ref="R205" r:id="rId602"/>
    <hyperlink xmlns:r="http://schemas.openxmlformats.org/officeDocument/2006/relationships" ref="S205" r:id="rId603"/>
    <hyperlink xmlns:r="http://schemas.openxmlformats.org/officeDocument/2006/relationships" ref="E206" r:id="rId604"/>
    <hyperlink xmlns:r="http://schemas.openxmlformats.org/officeDocument/2006/relationships" ref="R206" r:id="rId605"/>
    <hyperlink xmlns:r="http://schemas.openxmlformats.org/officeDocument/2006/relationships" ref="S206" r:id="rId606"/>
    <hyperlink xmlns:r="http://schemas.openxmlformats.org/officeDocument/2006/relationships" ref="E207" r:id="rId607"/>
    <hyperlink xmlns:r="http://schemas.openxmlformats.org/officeDocument/2006/relationships" ref="R207" r:id="rId608"/>
    <hyperlink xmlns:r="http://schemas.openxmlformats.org/officeDocument/2006/relationships" ref="S207" r:id="rId609"/>
    <hyperlink xmlns:r="http://schemas.openxmlformats.org/officeDocument/2006/relationships" ref="E208" r:id="rId610"/>
    <hyperlink xmlns:r="http://schemas.openxmlformats.org/officeDocument/2006/relationships" ref="R208" r:id="rId611"/>
    <hyperlink xmlns:r="http://schemas.openxmlformats.org/officeDocument/2006/relationships" ref="S208" r:id="rId612"/>
    <hyperlink xmlns:r="http://schemas.openxmlformats.org/officeDocument/2006/relationships" ref="E209" r:id="rId613"/>
    <hyperlink xmlns:r="http://schemas.openxmlformats.org/officeDocument/2006/relationships" ref="R209" r:id="rId614"/>
    <hyperlink xmlns:r="http://schemas.openxmlformats.org/officeDocument/2006/relationships" ref="S209" r:id="rId615"/>
    <hyperlink xmlns:r="http://schemas.openxmlformats.org/officeDocument/2006/relationships" ref="E210" r:id="rId616"/>
    <hyperlink xmlns:r="http://schemas.openxmlformats.org/officeDocument/2006/relationships" ref="R210" r:id="rId617"/>
    <hyperlink xmlns:r="http://schemas.openxmlformats.org/officeDocument/2006/relationships" ref="S210" r:id="rId618"/>
    <hyperlink xmlns:r="http://schemas.openxmlformats.org/officeDocument/2006/relationships" ref="E211" r:id="rId619"/>
    <hyperlink xmlns:r="http://schemas.openxmlformats.org/officeDocument/2006/relationships" ref="R211" r:id="rId620"/>
    <hyperlink xmlns:r="http://schemas.openxmlformats.org/officeDocument/2006/relationships" ref="S211" r:id="rId621"/>
    <hyperlink xmlns:r="http://schemas.openxmlformats.org/officeDocument/2006/relationships" ref="E212" r:id="rId622"/>
    <hyperlink xmlns:r="http://schemas.openxmlformats.org/officeDocument/2006/relationships" ref="R212" r:id="rId623"/>
    <hyperlink xmlns:r="http://schemas.openxmlformats.org/officeDocument/2006/relationships" ref="S212" r:id="rId624"/>
    <hyperlink xmlns:r="http://schemas.openxmlformats.org/officeDocument/2006/relationships" ref="E213" r:id="rId625"/>
    <hyperlink xmlns:r="http://schemas.openxmlformats.org/officeDocument/2006/relationships" ref="R213" r:id="rId626"/>
    <hyperlink xmlns:r="http://schemas.openxmlformats.org/officeDocument/2006/relationships" ref="S213" r:id="rId627"/>
    <hyperlink xmlns:r="http://schemas.openxmlformats.org/officeDocument/2006/relationships" ref="E214" r:id="rId628"/>
    <hyperlink xmlns:r="http://schemas.openxmlformats.org/officeDocument/2006/relationships" ref="R214" r:id="rId629"/>
    <hyperlink xmlns:r="http://schemas.openxmlformats.org/officeDocument/2006/relationships" ref="S214" r:id="rId630"/>
    <hyperlink xmlns:r="http://schemas.openxmlformats.org/officeDocument/2006/relationships" ref="E215" r:id="rId631"/>
    <hyperlink xmlns:r="http://schemas.openxmlformats.org/officeDocument/2006/relationships" ref="R215" r:id="rId632"/>
    <hyperlink xmlns:r="http://schemas.openxmlformats.org/officeDocument/2006/relationships" ref="S215" r:id="rId633"/>
    <hyperlink xmlns:r="http://schemas.openxmlformats.org/officeDocument/2006/relationships" ref="E216" r:id="rId634"/>
    <hyperlink xmlns:r="http://schemas.openxmlformats.org/officeDocument/2006/relationships" ref="R216" r:id="rId635"/>
    <hyperlink xmlns:r="http://schemas.openxmlformats.org/officeDocument/2006/relationships" ref="S216" r:id="rId636"/>
    <hyperlink xmlns:r="http://schemas.openxmlformats.org/officeDocument/2006/relationships" ref="E217" r:id="rId637"/>
    <hyperlink xmlns:r="http://schemas.openxmlformats.org/officeDocument/2006/relationships" ref="R217" r:id="rId638"/>
    <hyperlink xmlns:r="http://schemas.openxmlformats.org/officeDocument/2006/relationships" ref="S217" r:id="rId639"/>
    <hyperlink xmlns:r="http://schemas.openxmlformats.org/officeDocument/2006/relationships" ref="E218" r:id="rId640"/>
    <hyperlink xmlns:r="http://schemas.openxmlformats.org/officeDocument/2006/relationships" ref="R218" r:id="rId641"/>
    <hyperlink xmlns:r="http://schemas.openxmlformats.org/officeDocument/2006/relationships" ref="S218" r:id="rId642"/>
    <hyperlink xmlns:r="http://schemas.openxmlformats.org/officeDocument/2006/relationships" ref="E219" r:id="rId643"/>
    <hyperlink xmlns:r="http://schemas.openxmlformats.org/officeDocument/2006/relationships" ref="R219" r:id="rId644"/>
    <hyperlink xmlns:r="http://schemas.openxmlformats.org/officeDocument/2006/relationships" ref="S219" r:id="rId645"/>
    <hyperlink xmlns:r="http://schemas.openxmlformats.org/officeDocument/2006/relationships" ref="E220" r:id="rId646"/>
    <hyperlink xmlns:r="http://schemas.openxmlformats.org/officeDocument/2006/relationships" ref="R220" r:id="rId647"/>
    <hyperlink xmlns:r="http://schemas.openxmlformats.org/officeDocument/2006/relationships" ref="S220" r:id="rId648"/>
    <hyperlink xmlns:r="http://schemas.openxmlformats.org/officeDocument/2006/relationships" ref="E221" r:id="rId649"/>
    <hyperlink xmlns:r="http://schemas.openxmlformats.org/officeDocument/2006/relationships" ref="R221" r:id="rId650"/>
    <hyperlink xmlns:r="http://schemas.openxmlformats.org/officeDocument/2006/relationships" ref="S221" r:id="rId651"/>
    <hyperlink xmlns:r="http://schemas.openxmlformats.org/officeDocument/2006/relationships" ref="E222" r:id="rId652"/>
    <hyperlink xmlns:r="http://schemas.openxmlformats.org/officeDocument/2006/relationships" ref="R222" r:id="rId653"/>
    <hyperlink xmlns:r="http://schemas.openxmlformats.org/officeDocument/2006/relationships" ref="S222" r:id="rId654"/>
    <hyperlink xmlns:r="http://schemas.openxmlformats.org/officeDocument/2006/relationships" ref="E223" r:id="rId655"/>
    <hyperlink xmlns:r="http://schemas.openxmlformats.org/officeDocument/2006/relationships" ref="R223" r:id="rId656"/>
    <hyperlink xmlns:r="http://schemas.openxmlformats.org/officeDocument/2006/relationships" ref="S223" r:id="rId657"/>
    <hyperlink xmlns:r="http://schemas.openxmlformats.org/officeDocument/2006/relationships" ref="E224" r:id="rId658"/>
    <hyperlink xmlns:r="http://schemas.openxmlformats.org/officeDocument/2006/relationships" ref="R224" r:id="rId659"/>
    <hyperlink xmlns:r="http://schemas.openxmlformats.org/officeDocument/2006/relationships" ref="S224" r:id="rId660"/>
    <hyperlink xmlns:r="http://schemas.openxmlformats.org/officeDocument/2006/relationships" ref="E225" r:id="rId661"/>
    <hyperlink xmlns:r="http://schemas.openxmlformats.org/officeDocument/2006/relationships" ref="R225" r:id="rId662"/>
    <hyperlink xmlns:r="http://schemas.openxmlformats.org/officeDocument/2006/relationships" ref="S225" r:id="rId663"/>
    <hyperlink xmlns:r="http://schemas.openxmlformats.org/officeDocument/2006/relationships" ref="E226" r:id="rId664"/>
    <hyperlink xmlns:r="http://schemas.openxmlformats.org/officeDocument/2006/relationships" ref="R226" r:id="rId665"/>
    <hyperlink xmlns:r="http://schemas.openxmlformats.org/officeDocument/2006/relationships" ref="S226" r:id="rId666"/>
    <hyperlink xmlns:r="http://schemas.openxmlformats.org/officeDocument/2006/relationships" ref="E227" r:id="rId667"/>
    <hyperlink xmlns:r="http://schemas.openxmlformats.org/officeDocument/2006/relationships" ref="R227" r:id="rId668"/>
    <hyperlink xmlns:r="http://schemas.openxmlformats.org/officeDocument/2006/relationships" ref="S227" r:id="rId669"/>
    <hyperlink xmlns:r="http://schemas.openxmlformats.org/officeDocument/2006/relationships" ref="E228" r:id="rId670"/>
    <hyperlink xmlns:r="http://schemas.openxmlformats.org/officeDocument/2006/relationships" ref="R228" r:id="rId671"/>
    <hyperlink xmlns:r="http://schemas.openxmlformats.org/officeDocument/2006/relationships" ref="S228" r:id="rId672"/>
    <hyperlink xmlns:r="http://schemas.openxmlformats.org/officeDocument/2006/relationships" ref="E229" r:id="rId673"/>
    <hyperlink xmlns:r="http://schemas.openxmlformats.org/officeDocument/2006/relationships" ref="R229" r:id="rId674"/>
    <hyperlink xmlns:r="http://schemas.openxmlformats.org/officeDocument/2006/relationships" ref="S229" r:id="rId675"/>
    <hyperlink xmlns:r="http://schemas.openxmlformats.org/officeDocument/2006/relationships" ref="E230" r:id="rId676"/>
    <hyperlink xmlns:r="http://schemas.openxmlformats.org/officeDocument/2006/relationships" ref="R230" r:id="rId677"/>
    <hyperlink xmlns:r="http://schemas.openxmlformats.org/officeDocument/2006/relationships" ref="S230" r:id="rId678"/>
    <hyperlink xmlns:r="http://schemas.openxmlformats.org/officeDocument/2006/relationships" ref="E231" r:id="rId679"/>
    <hyperlink xmlns:r="http://schemas.openxmlformats.org/officeDocument/2006/relationships" ref="R231" r:id="rId680"/>
    <hyperlink xmlns:r="http://schemas.openxmlformats.org/officeDocument/2006/relationships" ref="S231" r:id="rId681"/>
    <hyperlink xmlns:r="http://schemas.openxmlformats.org/officeDocument/2006/relationships" ref="E232" r:id="rId682"/>
    <hyperlink xmlns:r="http://schemas.openxmlformats.org/officeDocument/2006/relationships" ref="R232" r:id="rId683"/>
    <hyperlink xmlns:r="http://schemas.openxmlformats.org/officeDocument/2006/relationships" ref="S232" r:id="rId684"/>
    <hyperlink xmlns:r="http://schemas.openxmlformats.org/officeDocument/2006/relationships" ref="E233" r:id="rId685"/>
    <hyperlink xmlns:r="http://schemas.openxmlformats.org/officeDocument/2006/relationships" ref="R233" r:id="rId686"/>
    <hyperlink xmlns:r="http://schemas.openxmlformats.org/officeDocument/2006/relationships" ref="S233" r:id="rId687"/>
    <hyperlink xmlns:r="http://schemas.openxmlformats.org/officeDocument/2006/relationships" ref="E234" r:id="rId688"/>
    <hyperlink xmlns:r="http://schemas.openxmlformats.org/officeDocument/2006/relationships" ref="R234" r:id="rId689"/>
    <hyperlink xmlns:r="http://schemas.openxmlformats.org/officeDocument/2006/relationships" ref="S234" r:id="rId690"/>
    <hyperlink xmlns:r="http://schemas.openxmlformats.org/officeDocument/2006/relationships" ref="E235" r:id="rId691"/>
    <hyperlink xmlns:r="http://schemas.openxmlformats.org/officeDocument/2006/relationships" ref="R235" r:id="rId692"/>
    <hyperlink xmlns:r="http://schemas.openxmlformats.org/officeDocument/2006/relationships" ref="S235" r:id="rId693"/>
    <hyperlink xmlns:r="http://schemas.openxmlformats.org/officeDocument/2006/relationships" ref="E236" r:id="rId694"/>
    <hyperlink xmlns:r="http://schemas.openxmlformats.org/officeDocument/2006/relationships" ref="R236" r:id="rId695"/>
    <hyperlink xmlns:r="http://schemas.openxmlformats.org/officeDocument/2006/relationships" ref="S236" r:id="rId696"/>
    <hyperlink xmlns:r="http://schemas.openxmlformats.org/officeDocument/2006/relationships" ref="E237" r:id="rId697"/>
    <hyperlink xmlns:r="http://schemas.openxmlformats.org/officeDocument/2006/relationships" ref="R237" r:id="rId698"/>
    <hyperlink xmlns:r="http://schemas.openxmlformats.org/officeDocument/2006/relationships" ref="S237" r:id="rId699"/>
    <hyperlink xmlns:r="http://schemas.openxmlformats.org/officeDocument/2006/relationships" ref="E238" r:id="rId700"/>
    <hyperlink xmlns:r="http://schemas.openxmlformats.org/officeDocument/2006/relationships" ref="R238" r:id="rId701"/>
    <hyperlink xmlns:r="http://schemas.openxmlformats.org/officeDocument/2006/relationships" ref="S238" r:id="rId702"/>
    <hyperlink xmlns:r="http://schemas.openxmlformats.org/officeDocument/2006/relationships" ref="E239" r:id="rId703"/>
    <hyperlink xmlns:r="http://schemas.openxmlformats.org/officeDocument/2006/relationships" ref="R239" r:id="rId704"/>
    <hyperlink xmlns:r="http://schemas.openxmlformats.org/officeDocument/2006/relationships" ref="S239" r:id="rId705"/>
    <hyperlink xmlns:r="http://schemas.openxmlformats.org/officeDocument/2006/relationships" ref="E240" r:id="rId706"/>
    <hyperlink xmlns:r="http://schemas.openxmlformats.org/officeDocument/2006/relationships" ref="R240" r:id="rId707"/>
    <hyperlink xmlns:r="http://schemas.openxmlformats.org/officeDocument/2006/relationships" ref="S240" r:id="rId708"/>
    <hyperlink xmlns:r="http://schemas.openxmlformats.org/officeDocument/2006/relationships" ref="E241" r:id="rId709"/>
    <hyperlink xmlns:r="http://schemas.openxmlformats.org/officeDocument/2006/relationships" ref="R241" r:id="rId710"/>
    <hyperlink xmlns:r="http://schemas.openxmlformats.org/officeDocument/2006/relationships" ref="S241" r:id="rId711"/>
    <hyperlink xmlns:r="http://schemas.openxmlformats.org/officeDocument/2006/relationships" ref="E242" r:id="rId712"/>
    <hyperlink xmlns:r="http://schemas.openxmlformats.org/officeDocument/2006/relationships" ref="R242" r:id="rId713"/>
    <hyperlink xmlns:r="http://schemas.openxmlformats.org/officeDocument/2006/relationships" ref="S242" r:id="rId714"/>
    <hyperlink xmlns:r="http://schemas.openxmlformats.org/officeDocument/2006/relationships" ref="E243" r:id="rId715"/>
    <hyperlink xmlns:r="http://schemas.openxmlformats.org/officeDocument/2006/relationships" ref="R243" r:id="rId716"/>
    <hyperlink xmlns:r="http://schemas.openxmlformats.org/officeDocument/2006/relationships" ref="S243" r:id="rId717"/>
    <hyperlink xmlns:r="http://schemas.openxmlformats.org/officeDocument/2006/relationships" ref="E244" r:id="rId718"/>
    <hyperlink xmlns:r="http://schemas.openxmlformats.org/officeDocument/2006/relationships" ref="R244" r:id="rId719"/>
    <hyperlink xmlns:r="http://schemas.openxmlformats.org/officeDocument/2006/relationships" ref="S244" r:id="rId720"/>
    <hyperlink xmlns:r="http://schemas.openxmlformats.org/officeDocument/2006/relationships" ref="E245" r:id="rId721"/>
    <hyperlink xmlns:r="http://schemas.openxmlformats.org/officeDocument/2006/relationships" ref="R245" r:id="rId722"/>
    <hyperlink xmlns:r="http://schemas.openxmlformats.org/officeDocument/2006/relationships" ref="S245" r:id="rId723"/>
    <hyperlink xmlns:r="http://schemas.openxmlformats.org/officeDocument/2006/relationships" ref="E246" r:id="rId724"/>
    <hyperlink xmlns:r="http://schemas.openxmlformats.org/officeDocument/2006/relationships" ref="R246" r:id="rId725"/>
    <hyperlink xmlns:r="http://schemas.openxmlformats.org/officeDocument/2006/relationships" ref="S246" r:id="rId726"/>
    <hyperlink xmlns:r="http://schemas.openxmlformats.org/officeDocument/2006/relationships" ref="E247" r:id="rId727"/>
    <hyperlink xmlns:r="http://schemas.openxmlformats.org/officeDocument/2006/relationships" ref="R247" r:id="rId728"/>
    <hyperlink xmlns:r="http://schemas.openxmlformats.org/officeDocument/2006/relationships" ref="S247" r:id="rId729"/>
    <hyperlink xmlns:r="http://schemas.openxmlformats.org/officeDocument/2006/relationships" ref="E248" r:id="rId730"/>
    <hyperlink xmlns:r="http://schemas.openxmlformats.org/officeDocument/2006/relationships" ref="R248" r:id="rId731"/>
    <hyperlink xmlns:r="http://schemas.openxmlformats.org/officeDocument/2006/relationships" ref="S248" r:id="rId732"/>
    <hyperlink xmlns:r="http://schemas.openxmlformats.org/officeDocument/2006/relationships" ref="E249" r:id="rId733"/>
    <hyperlink xmlns:r="http://schemas.openxmlformats.org/officeDocument/2006/relationships" ref="R249" r:id="rId734"/>
    <hyperlink xmlns:r="http://schemas.openxmlformats.org/officeDocument/2006/relationships" ref="S249" r:id="rId735"/>
    <hyperlink xmlns:r="http://schemas.openxmlformats.org/officeDocument/2006/relationships" ref="E250" r:id="rId736"/>
    <hyperlink xmlns:r="http://schemas.openxmlformats.org/officeDocument/2006/relationships" ref="R250" r:id="rId737"/>
    <hyperlink xmlns:r="http://schemas.openxmlformats.org/officeDocument/2006/relationships" ref="S250" r:id="rId738"/>
    <hyperlink xmlns:r="http://schemas.openxmlformats.org/officeDocument/2006/relationships" ref="E251" r:id="rId739"/>
    <hyperlink xmlns:r="http://schemas.openxmlformats.org/officeDocument/2006/relationships" ref="R251" r:id="rId740"/>
    <hyperlink xmlns:r="http://schemas.openxmlformats.org/officeDocument/2006/relationships" ref="S251" r:id="rId741"/>
    <hyperlink xmlns:r="http://schemas.openxmlformats.org/officeDocument/2006/relationships" ref="E252" r:id="rId742"/>
    <hyperlink xmlns:r="http://schemas.openxmlformats.org/officeDocument/2006/relationships" ref="R252" r:id="rId743"/>
    <hyperlink xmlns:r="http://schemas.openxmlformats.org/officeDocument/2006/relationships" ref="S252" r:id="rId744"/>
    <hyperlink xmlns:r="http://schemas.openxmlformats.org/officeDocument/2006/relationships" ref="E253" r:id="rId745"/>
    <hyperlink xmlns:r="http://schemas.openxmlformats.org/officeDocument/2006/relationships" ref="R253" r:id="rId746"/>
    <hyperlink xmlns:r="http://schemas.openxmlformats.org/officeDocument/2006/relationships" ref="S253" r:id="rId747"/>
    <hyperlink xmlns:r="http://schemas.openxmlformats.org/officeDocument/2006/relationships" ref="E254" r:id="rId748"/>
    <hyperlink xmlns:r="http://schemas.openxmlformats.org/officeDocument/2006/relationships" ref="R254" r:id="rId749"/>
    <hyperlink xmlns:r="http://schemas.openxmlformats.org/officeDocument/2006/relationships" ref="S254" r:id="rId750"/>
    <hyperlink xmlns:r="http://schemas.openxmlformats.org/officeDocument/2006/relationships" ref="E255" r:id="rId751"/>
    <hyperlink xmlns:r="http://schemas.openxmlformats.org/officeDocument/2006/relationships" ref="R255" r:id="rId752"/>
    <hyperlink xmlns:r="http://schemas.openxmlformats.org/officeDocument/2006/relationships" ref="S255" r:id="rId753"/>
    <hyperlink xmlns:r="http://schemas.openxmlformats.org/officeDocument/2006/relationships" ref="E256" r:id="rId754"/>
    <hyperlink xmlns:r="http://schemas.openxmlformats.org/officeDocument/2006/relationships" ref="R256" r:id="rId755"/>
    <hyperlink xmlns:r="http://schemas.openxmlformats.org/officeDocument/2006/relationships" ref="S256" r:id="rId756"/>
    <hyperlink xmlns:r="http://schemas.openxmlformats.org/officeDocument/2006/relationships" ref="E257" r:id="rId757"/>
    <hyperlink xmlns:r="http://schemas.openxmlformats.org/officeDocument/2006/relationships" ref="R257" r:id="rId758"/>
    <hyperlink xmlns:r="http://schemas.openxmlformats.org/officeDocument/2006/relationships" ref="S257" r:id="rId759"/>
    <hyperlink xmlns:r="http://schemas.openxmlformats.org/officeDocument/2006/relationships" ref="E258" r:id="rId760"/>
    <hyperlink xmlns:r="http://schemas.openxmlformats.org/officeDocument/2006/relationships" ref="R258" r:id="rId761"/>
    <hyperlink xmlns:r="http://schemas.openxmlformats.org/officeDocument/2006/relationships" ref="S258" r:id="rId762"/>
    <hyperlink xmlns:r="http://schemas.openxmlformats.org/officeDocument/2006/relationships" ref="E259" r:id="rId763"/>
    <hyperlink xmlns:r="http://schemas.openxmlformats.org/officeDocument/2006/relationships" ref="R259" r:id="rId764"/>
    <hyperlink xmlns:r="http://schemas.openxmlformats.org/officeDocument/2006/relationships" ref="S259" r:id="rId765"/>
    <hyperlink xmlns:r="http://schemas.openxmlformats.org/officeDocument/2006/relationships" ref="E260" r:id="rId766"/>
    <hyperlink xmlns:r="http://schemas.openxmlformats.org/officeDocument/2006/relationships" ref="R260" r:id="rId767"/>
    <hyperlink xmlns:r="http://schemas.openxmlformats.org/officeDocument/2006/relationships" ref="S260" r:id="rId768"/>
    <hyperlink xmlns:r="http://schemas.openxmlformats.org/officeDocument/2006/relationships" ref="E261" r:id="rId769"/>
    <hyperlink xmlns:r="http://schemas.openxmlformats.org/officeDocument/2006/relationships" ref="R261" r:id="rId770"/>
    <hyperlink xmlns:r="http://schemas.openxmlformats.org/officeDocument/2006/relationships" ref="S261" r:id="rId771"/>
    <hyperlink xmlns:r="http://schemas.openxmlformats.org/officeDocument/2006/relationships" ref="E262" r:id="rId772"/>
    <hyperlink xmlns:r="http://schemas.openxmlformats.org/officeDocument/2006/relationships" ref="R262" r:id="rId773"/>
    <hyperlink xmlns:r="http://schemas.openxmlformats.org/officeDocument/2006/relationships" ref="S262" r:id="rId774"/>
    <hyperlink xmlns:r="http://schemas.openxmlformats.org/officeDocument/2006/relationships" ref="E263" r:id="rId775"/>
    <hyperlink xmlns:r="http://schemas.openxmlformats.org/officeDocument/2006/relationships" ref="R263" r:id="rId776"/>
    <hyperlink xmlns:r="http://schemas.openxmlformats.org/officeDocument/2006/relationships" ref="S263" r:id="rId777"/>
    <hyperlink xmlns:r="http://schemas.openxmlformats.org/officeDocument/2006/relationships" ref="E264" r:id="rId778"/>
    <hyperlink xmlns:r="http://schemas.openxmlformats.org/officeDocument/2006/relationships" ref="R264" r:id="rId779"/>
    <hyperlink xmlns:r="http://schemas.openxmlformats.org/officeDocument/2006/relationships" ref="S264" r:id="rId780"/>
    <hyperlink xmlns:r="http://schemas.openxmlformats.org/officeDocument/2006/relationships" ref="E265" r:id="rId781"/>
    <hyperlink xmlns:r="http://schemas.openxmlformats.org/officeDocument/2006/relationships" ref="R265" r:id="rId782"/>
    <hyperlink xmlns:r="http://schemas.openxmlformats.org/officeDocument/2006/relationships" ref="S265" r:id="rId783"/>
    <hyperlink xmlns:r="http://schemas.openxmlformats.org/officeDocument/2006/relationships" ref="E266" r:id="rId784"/>
    <hyperlink xmlns:r="http://schemas.openxmlformats.org/officeDocument/2006/relationships" ref="R266" r:id="rId785"/>
    <hyperlink xmlns:r="http://schemas.openxmlformats.org/officeDocument/2006/relationships" ref="S266" r:id="rId786"/>
    <hyperlink xmlns:r="http://schemas.openxmlformats.org/officeDocument/2006/relationships" ref="E267" r:id="rId787"/>
    <hyperlink xmlns:r="http://schemas.openxmlformats.org/officeDocument/2006/relationships" ref="R267" r:id="rId788"/>
    <hyperlink xmlns:r="http://schemas.openxmlformats.org/officeDocument/2006/relationships" ref="S267" r:id="rId789"/>
    <hyperlink xmlns:r="http://schemas.openxmlformats.org/officeDocument/2006/relationships" ref="E268" r:id="rId790"/>
    <hyperlink xmlns:r="http://schemas.openxmlformats.org/officeDocument/2006/relationships" ref="R268" r:id="rId791"/>
    <hyperlink xmlns:r="http://schemas.openxmlformats.org/officeDocument/2006/relationships" ref="S268" r:id="rId792"/>
    <hyperlink xmlns:r="http://schemas.openxmlformats.org/officeDocument/2006/relationships" ref="E269" r:id="rId793"/>
    <hyperlink xmlns:r="http://schemas.openxmlformats.org/officeDocument/2006/relationships" ref="R269" r:id="rId794"/>
    <hyperlink xmlns:r="http://schemas.openxmlformats.org/officeDocument/2006/relationships" ref="S269" r:id="rId795"/>
    <hyperlink xmlns:r="http://schemas.openxmlformats.org/officeDocument/2006/relationships" ref="E270" r:id="rId796"/>
    <hyperlink xmlns:r="http://schemas.openxmlformats.org/officeDocument/2006/relationships" ref="R270" r:id="rId797"/>
    <hyperlink xmlns:r="http://schemas.openxmlformats.org/officeDocument/2006/relationships" ref="S270" r:id="rId798"/>
    <hyperlink xmlns:r="http://schemas.openxmlformats.org/officeDocument/2006/relationships" ref="E271" r:id="rId799"/>
    <hyperlink xmlns:r="http://schemas.openxmlformats.org/officeDocument/2006/relationships" ref="R271" r:id="rId800"/>
    <hyperlink xmlns:r="http://schemas.openxmlformats.org/officeDocument/2006/relationships" ref="S271" r:id="rId801"/>
    <hyperlink xmlns:r="http://schemas.openxmlformats.org/officeDocument/2006/relationships" ref="E272" r:id="rId802"/>
    <hyperlink xmlns:r="http://schemas.openxmlformats.org/officeDocument/2006/relationships" ref="R272" r:id="rId803"/>
    <hyperlink xmlns:r="http://schemas.openxmlformats.org/officeDocument/2006/relationships" ref="S272" r:id="rId804"/>
    <hyperlink xmlns:r="http://schemas.openxmlformats.org/officeDocument/2006/relationships" ref="E273" r:id="rId805"/>
    <hyperlink xmlns:r="http://schemas.openxmlformats.org/officeDocument/2006/relationships" ref="R273" r:id="rId806"/>
    <hyperlink xmlns:r="http://schemas.openxmlformats.org/officeDocument/2006/relationships" ref="S273" r:id="rId807"/>
    <hyperlink xmlns:r="http://schemas.openxmlformats.org/officeDocument/2006/relationships" ref="E274" r:id="rId808"/>
    <hyperlink xmlns:r="http://schemas.openxmlformats.org/officeDocument/2006/relationships" ref="R274" r:id="rId809"/>
    <hyperlink xmlns:r="http://schemas.openxmlformats.org/officeDocument/2006/relationships" ref="S274" r:id="rId810"/>
    <hyperlink xmlns:r="http://schemas.openxmlformats.org/officeDocument/2006/relationships" ref="E275" r:id="rId811"/>
    <hyperlink xmlns:r="http://schemas.openxmlformats.org/officeDocument/2006/relationships" ref="R275" r:id="rId812"/>
    <hyperlink xmlns:r="http://schemas.openxmlformats.org/officeDocument/2006/relationships" ref="S275" r:id="rId813"/>
    <hyperlink xmlns:r="http://schemas.openxmlformats.org/officeDocument/2006/relationships" ref="E276" r:id="rId814"/>
    <hyperlink xmlns:r="http://schemas.openxmlformats.org/officeDocument/2006/relationships" ref="R276" r:id="rId815"/>
    <hyperlink xmlns:r="http://schemas.openxmlformats.org/officeDocument/2006/relationships" ref="S276" r:id="rId816"/>
    <hyperlink xmlns:r="http://schemas.openxmlformats.org/officeDocument/2006/relationships" ref="E277" r:id="rId817"/>
    <hyperlink xmlns:r="http://schemas.openxmlformats.org/officeDocument/2006/relationships" ref="R277" r:id="rId818"/>
    <hyperlink xmlns:r="http://schemas.openxmlformats.org/officeDocument/2006/relationships" ref="S277" r:id="rId819"/>
    <hyperlink xmlns:r="http://schemas.openxmlformats.org/officeDocument/2006/relationships" ref="E278" r:id="rId820"/>
    <hyperlink xmlns:r="http://schemas.openxmlformats.org/officeDocument/2006/relationships" ref="R278" r:id="rId821"/>
    <hyperlink xmlns:r="http://schemas.openxmlformats.org/officeDocument/2006/relationships" ref="S278" r:id="rId822"/>
    <hyperlink xmlns:r="http://schemas.openxmlformats.org/officeDocument/2006/relationships" ref="E279" r:id="rId823"/>
    <hyperlink xmlns:r="http://schemas.openxmlformats.org/officeDocument/2006/relationships" ref="R279" r:id="rId824"/>
    <hyperlink xmlns:r="http://schemas.openxmlformats.org/officeDocument/2006/relationships" ref="S279" r:id="rId825"/>
    <hyperlink xmlns:r="http://schemas.openxmlformats.org/officeDocument/2006/relationships" ref="E280" r:id="rId826"/>
    <hyperlink xmlns:r="http://schemas.openxmlformats.org/officeDocument/2006/relationships" ref="R280" r:id="rId827"/>
    <hyperlink xmlns:r="http://schemas.openxmlformats.org/officeDocument/2006/relationships" ref="S280" r:id="rId828"/>
    <hyperlink xmlns:r="http://schemas.openxmlformats.org/officeDocument/2006/relationships" ref="E281" r:id="rId829"/>
    <hyperlink xmlns:r="http://schemas.openxmlformats.org/officeDocument/2006/relationships" ref="R281" r:id="rId830"/>
    <hyperlink xmlns:r="http://schemas.openxmlformats.org/officeDocument/2006/relationships" ref="S281" r:id="rId831"/>
    <hyperlink xmlns:r="http://schemas.openxmlformats.org/officeDocument/2006/relationships" ref="E282" r:id="rId832"/>
    <hyperlink xmlns:r="http://schemas.openxmlformats.org/officeDocument/2006/relationships" ref="R282" r:id="rId833"/>
    <hyperlink xmlns:r="http://schemas.openxmlformats.org/officeDocument/2006/relationships" ref="S282" r:id="rId834"/>
    <hyperlink xmlns:r="http://schemas.openxmlformats.org/officeDocument/2006/relationships" ref="E283" r:id="rId835"/>
    <hyperlink xmlns:r="http://schemas.openxmlformats.org/officeDocument/2006/relationships" ref="R283" r:id="rId836"/>
    <hyperlink xmlns:r="http://schemas.openxmlformats.org/officeDocument/2006/relationships" ref="S283" r:id="rId837"/>
    <hyperlink xmlns:r="http://schemas.openxmlformats.org/officeDocument/2006/relationships" ref="E284" r:id="rId838"/>
    <hyperlink xmlns:r="http://schemas.openxmlformats.org/officeDocument/2006/relationships" ref="R284" r:id="rId839"/>
    <hyperlink xmlns:r="http://schemas.openxmlformats.org/officeDocument/2006/relationships" ref="S284" r:id="rId840"/>
    <hyperlink xmlns:r="http://schemas.openxmlformats.org/officeDocument/2006/relationships" ref="E285" r:id="rId841"/>
    <hyperlink xmlns:r="http://schemas.openxmlformats.org/officeDocument/2006/relationships" ref="R285" r:id="rId842"/>
    <hyperlink xmlns:r="http://schemas.openxmlformats.org/officeDocument/2006/relationships" ref="S285" r:id="rId843"/>
    <hyperlink xmlns:r="http://schemas.openxmlformats.org/officeDocument/2006/relationships" ref="E286" r:id="rId844"/>
    <hyperlink xmlns:r="http://schemas.openxmlformats.org/officeDocument/2006/relationships" ref="R286" r:id="rId845"/>
    <hyperlink xmlns:r="http://schemas.openxmlformats.org/officeDocument/2006/relationships" ref="S286" r:id="rId846"/>
    <hyperlink xmlns:r="http://schemas.openxmlformats.org/officeDocument/2006/relationships" ref="E287" r:id="rId847"/>
    <hyperlink xmlns:r="http://schemas.openxmlformats.org/officeDocument/2006/relationships" ref="R287" r:id="rId848"/>
    <hyperlink xmlns:r="http://schemas.openxmlformats.org/officeDocument/2006/relationships" ref="S287" r:id="rId849"/>
    <hyperlink xmlns:r="http://schemas.openxmlformats.org/officeDocument/2006/relationships" ref="E288" r:id="rId850"/>
    <hyperlink xmlns:r="http://schemas.openxmlformats.org/officeDocument/2006/relationships" ref="R288" r:id="rId851"/>
    <hyperlink xmlns:r="http://schemas.openxmlformats.org/officeDocument/2006/relationships" ref="S288" r:id="rId852"/>
    <hyperlink xmlns:r="http://schemas.openxmlformats.org/officeDocument/2006/relationships" ref="E289" r:id="rId853"/>
    <hyperlink xmlns:r="http://schemas.openxmlformats.org/officeDocument/2006/relationships" ref="R289" r:id="rId854"/>
    <hyperlink xmlns:r="http://schemas.openxmlformats.org/officeDocument/2006/relationships" ref="S289" r:id="rId855"/>
    <hyperlink xmlns:r="http://schemas.openxmlformats.org/officeDocument/2006/relationships" ref="E290" r:id="rId856"/>
    <hyperlink xmlns:r="http://schemas.openxmlformats.org/officeDocument/2006/relationships" ref="R290" r:id="rId857"/>
    <hyperlink xmlns:r="http://schemas.openxmlformats.org/officeDocument/2006/relationships" ref="S290" r:id="rId858"/>
    <hyperlink xmlns:r="http://schemas.openxmlformats.org/officeDocument/2006/relationships" ref="E291" r:id="rId859"/>
    <hyperlink xmlns:r="http://schemas.openxmlformats.org/officeDocument/2006/relationships" ref="R291" r:id="rId860"/>
    <hyperlink xmlns:r="http://schemas.openxmlformats.org/officeDocument/2006/relationships" ref="S291" r:id="rId861"/>
    <hyperlink xmlns:r="http://schemas.openxmlformats.org/officeDocument/2006/relationships" ref="E292" r:id="rId862"/>
    <hyperlink xmlns:r="http://schemas.openxmlformats.org/officeDocument/2006/relationships" ref="R292" r:id="rId863"/>
    <hyperlink xmlns:r="http://schemas.openxmlformats.org/officeDocument/2006/relationships" ref="S292" r:id="rId864"/>
    <hyperlink xmlns:r="http://schemas.openxmlformats.org/officeDocument/2006/relationships" ref="E293" r:id="rId865"/>
    <hyperlink xmlns:r="http://schemas.openxmlformats.org/officeDocument/2006/relationships" ref="R293" r:id="rId866"/>
    <hyperlink xmlns:r="http://schemas.openxmlformats.org/officeDocument/2006/relationships" ref="S293" r:id="rId867"/>
    <hyperlink xmlns:r="http://schemas.openxmlformats.org/officeDocument/2006/relationships" ref="E294" r:id="rId868"/>
    <hyperlink xmlns:r="http://schemas.openxmlformats.org/officeDocument/2006/relationships" ref="R294" r:id="rId869"/>
    <hyperlink xmlns:r="http://schemas.openxmlformats.org/officeDocument/2006/relationships" ref="S294" r:id="rId870"/>
    <hyperlink xmlns:r="http://schemas.openxmlformats.org/officeDocument/2006/relationships" ref="E295" r:id="rId871"/>
    <hyperlink xmlns:r="http://schemas.openxmlformats.org/officeDocument/2006/relationships" ref="R295" r:id="rId872"/>
    <hyperlink xmlns:r="http://schemas.openxmlformats.org/officeDocument/2006/relationships" ref="S295" r:id="rId873"/>
    <hyperlink xmlns:r="http://schemas.openxmlformats.org/officeDocument/2006/relationships" ref="E296" r:id="rId874"/>
    <hyperlink xmlns:r="http://schemas.openxmlformats.org/officeDocument/2006/relationships" ref="R296" r:id="rId875"/>
    <hyperlink xmlns:r="http://schemas.openxmlformats.org/officeDocument/2006/relationships" ref="S296" r:id="rId876"/>
    <hyperlink xmlns:r="http://schemas.openxmlformats.org/officeDocument/2006/relationships" ref="E297" r:id="rId877"/>
    <hyperlink xmlns:r="http://schemas.openxmlformats.org/officeDocument/2006/relationships" ref="R297" r:id="rId878"/>
    <hyperlink xmlns:r="http://schemas.openxmlformats.org/officeDocument/2006/relationships" ref="S297" r:id="rId879"/>
    <hyperlink xmlns:r="http://schemas.openxmlformats.org/officeDocument/2006/relationships" ref="E298" r:id="rId880"/>
    <hyperlink xmlns:r="http://schemas.openxmlformats.org/officeDocument/2006/relationships" ref="R298" r:id="rId881"/>
    <hyperlink xmlns:r="http://schemas.openxmlformats.org/officeDocument/2006/relationships" ref="S298" r:id="rId882"/>
    <hyperlink xmlns:r="http://schemas.openxmlformats.org/officeDocument/2006/relationships" ref="E299" r:id="rId883"/>
    <hyperlink xmlns:r="http://schemas.openxmlformats.org/officeDocument/2006/relationships" ref="R299" r:id="rId884"/>
    <hyperlink xmlns:r="http://schemas.openxmlformats.org/officeDocument/2006/relationships" ref="S299" r:id="rId885"/>
    <hyperlink xmlns:r="http://schemas.openxmlformats.org/officeDocument/2006/relationships" ref="E300" r:id="rId886"/>
    <hyperlink xmlns:r="http://schemas.openxmlformats.org/officeDocument/2006/relationships" ref="R300" r:id="rId887"/>
    <hyperlink xmlns:r="http://schemas.openxmlformats.org/officeDocument/2006/relationships" ref="S300" r:id="rId888"/>
    <hyperlink xmlns:r="http://schemas.openxmlformats.org/officeDocument/2006/relationships" ref="E301" r:id="rId889"/>
    <hyperlink xmlns:r="http://schemas.openxmlformats.org/officeDocument/2006/relationships" ref="R301" r:id="rId890"/>
    <hyperlink xmlns:r="http://schemas.openxmlformats.org/officeDocument/2006/relationships" ref="S301" r:id="rId891"/>
    <hyperlink xmlns:r="http://schemas.openxmlformats.org/officeDocument/2006/relationships" ref="E302" r:id="rId892"/>
    <hyperlink xmlns:r="http://schemas.openxmlformats.org/officeDocument/2006/relationships" ref="R302" r:id="rId893"/>
    <hyperlink xmlns:r="http://schemas.openxmlformats.org/officeDocument/2006/relationships" ref="S302" r:id="rId894"/>
    <hyperlink xmlns:r="http://schemas.openxmlformats.org/officeDocument/2006/relationships" ref="E303" r:id="rId895"/>
    <hyperlink xmlns:r="http://schemas.openxmlformats.org/officeDocument/2006/relationships" ref="R303" r:id="rId896"/>
    <hyperlink xmlns:r="http://schemas.openxmlformats.org/officeDocument/2006/relationships" ref="S303" r:id="rId897"/>
    <hyperlink xmlns:r="http://schemas.openxmlformats.org/officeDocument/2006/relationships" ref="E304" r:id="rId898"/>
    <hyperlink xmlns:r="http://schemas.openxmlformats.org/officeDocument/2006/relationships" ref="R304" r:id="rId899"/>
    <hyperlink xmlns:r="http://schemas.openxmlformats.org/officeDocument/2006/relationships" ref="S304" r:id="rId900"/>
    <hyperlink xmlns:r="http://schemas.openxmlformats.org/officeDocument/2006/relationships" ref="E305" r:id="rId901"/>
    <hyperlink xmlns:r="http://schemas.openxmlformats.org/officeDocument/2006/relationships" ref="R305" r:id="rId902"/>
    <hyperlink xmlns:r="http://schemas.openxmlformats.org/officeDocument/2006/relationships" ref="S305" r:id="rId903"/>
    <hyperlink xmlns:r="http://schemas.openxmlformats.org/officeDocument/2006/relationships" ref="E306" r:id="rId904"/>
    <hyperlink xmlns:r="http://schemas.openxmlformats.org/officeDocument/2006/relationships" ref="R306" r:id="rId905"/>
    <hyperlink xmlns:r="http://schemas.openxmlformats.org/officeDocument/2006/relationships" ref="S306" r:id="rId906"/>
    <hyperlink xmlns:r="http://schemas.openxmlformats.org/officeDocument/2006/relationships" ref="E307" r:id="rId907"/>
    <hyperlink xmlns:r="http://schemas.openxmlformats.org/officeDocument/2006/relationships" ref="R307" r:id="rId908"/>
    <hyperlink xmlns:r="http://schemas.openxmlformats.org/officeDocument/2006/relationships" ref="S307" r:id="rId909"/>
    <hyperlink xmlns:r="http://schemas.openxmlformats.org/officeDocument/2006/relationships" ref="E308" r:id="rId910"/>
    <hyperlink xmlns:r="http://schemas.openxmlformats.org/officeDocument/2006/relationships" ref="R308" r:id="rId911"/>
    <hyperlink xmlns:r="http://schemas.openxmlformats.org/officeDocument/2006/relationships" ref="S308" r:id="rId912"/>
    <hyperlink xmlns:r="http://schemas.openxmlformats.org/officeDocument/2006/relationships" ref="E309" r:id="rId913"/>
    <hyperlink xmlns:r="http://schemas.openxmlformats.org/officeDocument/2006/relationships" ref="R309" r:id="rId914"/>
    <hyperlink xmlns:r="http://schemas.openxmlformats.org/officeDocument/2006/relationships" ref="S309" r:id="rId915"/>
    <hyperlink xmlns:r="http://schemas.openxmlformats.org/officeDocument/2006/relationships" ref="E310" r:id="rId916"/>
    <hyperlink xmlns:r="http://schemas.openxmlformats.org/officeDocument/2006/relationships" ref="R310" r:id="rId917"/>
    <hyperlink xmlns:r="http://schemas.openxmlformats.org/officeDocument/2006/relationships" ref="S310" r:id="rId918"/>
    <hyperlink xmlns:r="http://schemas.openxmlformats.org/officeDocument/2006/relationships" ref="E311" r:id="rId919"/>
    <hyperlink xmlns:r="http://schemas.openxmlformats.org/officeDocument/2006/relationships" ref="R311" r:id="rId920"/>
    <hyperlink xmlns:r="http://schemas.openxmlformats.org/officeDocument/2006/relationships" ref="S311" r:id="rId921"/>
    <hyperlink xmlns:r="http://schemas.openxmlformats.org/officeDocument/2006/relationships" ref="E312" r:id="rId922"/>
    <hyperlink xmlns:r="http://schemas.openxmlformats.org/officeDocument/2006/relationships" ref="R312" r:id="rId923"/>
    <hyperlink xmlns:r="http://schemas.openxmlformats.org/officeDocument/2006/relationships" ref="S312" r:id="rId924"/>
    <hyperlink xmlns:r="http://schemas.openxmlformats.org/officeDocument/2006/relationships" ref="E313" r:id="rId925"/>
    <hyperlink xmlns:r="http://schemas.openxmlformats.org/officeDocument/2006/relationships" ref="R313" r:id="rId926"/>
    <hyperlink xmlns:r="http://schemas.openxmlformats.org/officeDocument/2006/relationships" ref="S313" r:id="rId927"/>
    <hyperlink xmlns:r="http://schemas.openxmlformats.org/officeDocument/2006/relationships" ref="E314" r:id="rId928"/>
    <hyperlink xmlns:r="http://schemas.openxmlformats.org/officeDocument/2006/relationships" ref="R314" r:id="rId929"/>
    <hyperlink xmlns:r="http://schemas.openxmlformats.org/officeDocument/2006/relationships" ref="S314" r:id="rId930"/>
    <hyperlink xmlns:r="http://schemas.openxmlformats.org/officeDocument/2006/relationships" ref="E315" r:id="rId931"/>
    <hyperlink xmlns:r="http://schemas.openxmlformats.org/officeDocument/2006/relationships" ref="R315" r:id="rId932"/>
    <hyperlink xmlns:r="http://schemas.openxmlformats.org/officeDocument/2006/relationships" ref="S315" r:id="rId933"/>
    <hyperlink xmlns:r="http://schemas.openxmlformats.org/officeDocument/2006/relationships" ref="E316" r:id="rId934"/>
    <hyperlink xmlns:r="http://schemas.openxmlformats.org/officeDocument/2006/relationships" ref="R316" r:id="rId935"/>
    <hyperlink xmlns:r="http://schemas.openxmlformats.org/officeDocument/2006/relationships" ref="S316" r:id="rId936"/>
    <hyperlink xmlns:r="http://schemas.openxmlformats.org/officeDocument/2006/relationships" ref="E317" r:id="rId937"/>
    <hyperlink xmlns:r="http://schemas.openxmlformats.org/officeDocument/2006/relationships" ref="R317" r:id="rId938"/>
    <hyperlink xmlns:r="http://schemas.openxmlformats.org/officeDocument/2006/relationships" ref="S317" r:id="rId939"/>
    <hyperlink xmlns:r="http://schemas.openxmlformats.org/officeDocument/2006/relationships" ref="E318" r:id="rId940"/>
    <hyperlink xmlns:r="http://schemas.openxmlformats.org/officeDocument/2006/relationships" ref="R318" r:id="rId941"/>
    <hyperlink xmlns:r="http://schemas.openxmlformats.org/officeDocument/2006/relationships" ref="S318" r:id="rId942"/>
    <hyperlink xmlns:r="http://schemas.openxmlformats.org/officeDocument/2006/relationships" ref="E319" r:id="rId943"/>
    <hyperlink xmlns:r="http://schemas.openxmlformats.org/officeDocument/2006/relationships" ref="R319" r:id="rId944"/>
    <hyperlink xmlns:r="http://schemas.openxmlformats.org/officeDocument/2006/relationships" ref="S319" r:id="rId945"/>
    <hyperlink xmlns:r="http://schemas.openxmlformats.org/officeDocument/2006/relationships" ref="E320" r:id="rId946"/>
    <hyperlink xmlns:r="http://schemas.openxmlformats.org/officeDocument/2006/relationships" ref="R320" r:id="rId947"/>
    <hyperlink xmlns:r="http://schemas.openxmlformats.org/officeDocument/2006/relationships" ref="S320" r:id="rId948"/>
    <hyperlink xmlns:r="http://schemas.openxmlformats.org/officeDocument/2006/relationships" ref="E321" r:id="rId949"/>
    <hyperlink xmlns:r="http://schemas.openxmlformats.org/officeDocument/2006/relationships" ref="R321" r:id="rId950"/>
    <hyperlink xmlns:r="http://schemas.openxmlformats.org/officeDocument/2006/relationships" ref="S321" r:id="rId951"/>
    <hyperlink xmlns:r="http://schemas.openxmlformats.org/officeDocument/2006/relationships" ref="E322" r:id="rId952"/>
    <hyperlink xmlns:r="http://schemas.openxmlformats.org/officeDocument/2006/relationships" ref="R322" r:id="rId953"/>
    <hyperlink xmlns:r="http://schemas.openxmlformats.org/officeDocument/2006/relationships" ref="S322" r:id="rId954"/>
    <hyperlink xmlns:r="http://schemas.openxmlformats.org/officeDocument/2006/relationships" ref="E323" r:id="rId955"/>
    <hyperlink xmlns:r="http://schemas.openxmlformats.org/officeDocument/2006/relationships" ref="R323" r:id="rId956"/>
    <hyperlink xmlns:r="http://schemas.openxmlformats.org/officeDocument/2006/relationships" ref="S323" r:id="rId957"/>
    <hyperlink xmlns:r="http://schemas.openxmlformats.org/officeDocument/2006/relationships" ref="E324" r:id="rId958"/>
    <hyperlink xmlns:r="http://schemas.openxmlformats.org/officeDocument/2006/relationships" ref="R324" r:id="rId959"/>
    <hyperlink xmlns:r="http://schemas.openxmlformats.org/officeDocument/2006/relationships" ref="S324" r:id="rId960"/>
    <hyperlink xmlns:r="http://schemas.openxmlformats.org/officeDocument/2006/relationships" ref="E325" r:id="rId961"/>
    <hyperlink xmlns:r="http://schemas.openxmlformats.org/officeDocument/2006/relationships" ref="R325" r:id="rId962"/>
    <hyperlink xmlns:r="http://schemas.openxmlformats.org/officeDocument/2006/relationships" ref="S325" r:id="rId963"/>
    <hyperlink xmlns:r="http://schemas.openxmlformats.org/officeDocument/2006/relationships" ref="E326" r:id="rId964"/>
    <hyperlink xmlns:r="http://schemas.openxmlformats.org/officeDocument/2006/relationships" ref="R326" r:id="rId965"/>
    <hyperlink xmlns:r="http://schemas.openxmlformats.org/officeDocument/2006/relationships" ref="S326" r:id="rId966"/>
    <hyperlink xmlns:r="http://schemas.openxmlformats.org/officeDocument/2006/relationships" ref="E327" r:id="rId967"/>
    <hyperlink xmlns:r="http://schemas.openxmlformats.org/officeDocument/2006/relationships" ref="R327" r:id="rId968"/>
    <hyperlink xmlns:r="http://schemas.openxmlformats.org/officeDocument/2006/relationships" ref="S327" r:id="rId969"/>
    <hyperlink xmlns:r="http://schemas.openxmlformats.org/officeDocument/2006/relationships" ref="E328" r:id="rId970"/>
    <hyperlink xmlns:r="http://schemas.openxmlformats.org/officeDocument/2006/relationships" ref="R328" r:id="rId971"/>
    <hyperlink xmlns:r="http://schemas.openxmlformats.org/officeDocument/2006/relationships" ref="S328" r:id="rId972"/>
    <hyperlink xmlns:r="http://schemas.openxmlformats.org/officeDocument/2006/relationships" ref="E329" r:id="rId973"/>
    <hyperlink xmlns:r="http://schemas.openxmlformats.org/officeDocument/2006/relationships" ref="R329" r:id="rId974"/>
    <hyperlink xmlns:r="http://schemas.openxmlformats.org/officeDocument/2006/relationships" ref="S329" r:id="rId975"/>
    <hyperlink xmlns:r="http://schemas.openxmlformats.org/officeDocument/2006/relationships" ref="E330" r:id="rId976"/>
    <hyperlink xmlns:r="http://schemas.openxmlformats.org/officeDocument/2006/relationships" ref="R330" r:id="rId977"/>
    <hyperlink xmlns:r="http://schemas.openxmlformats.org/officeDocument/2006/relationships" ref="S330" r:id="rId978"/>
    <hyperlink xmlns:r="http://schemas.openxmlformats.org/officeDocument/2006/relationships" ref="E331" r:id="rId979"/>
    <hyperlink xmlns:r="http://schemas.openxmlformats.org/officeDocument/2006/relationships" ref="R331" r:id="rId980"/>
    <hyperlink xmlns:r="http://schemas.openxmlformats.org/officeDocument/2006/relationships" ref="S331" r:id="rId981"/>
    <hyperlink xmlns:r="http://schemas.openxmlformats.org/officeDocument/2006/relationships" ref="E332" r:id="rId982"/>
    <hyperlink xmlns:r="http://schemas.openxmlformats.org/officeDocument/2006/relationships" ref="R332" r:id="rId983"/>
    <hyperlink xmlns:r="http://schemas.openxmlformats.org/officeDocument/2006/relationships" ref="S332" r:id="rId984"/>
    <hyperlink xmlns:r="http://schemas.openxmlformats.org/officeDocument/2006/relationships" ref="E333" r:id="rId985"/>
    <hyperlink xmlns:r="http://schemas.openxmlformats.org/officeDocument/2006/relationships" ref="R333" r:id="rId986"/>
    <hyperlink xmlns:r="http://schemas.openxmlformats.org/officeDocument/2006/relationships" ref="S333" r:id="rId987"/>
    <hyperlink xmlns:r="http://schemas.openxmlformats.org/officeDocument/2006/relationships" ref="E334" r:id="rId988"/>
    <hyperlink xmlns:r="http://schemas.openxmlformats.org/officeDocument/2006/relationships" ref="R334" r:id="rId989"/>
    <hyperlink xmlns:r="http://schemas.openxmlformats.org/officeDocument/2006/relationships" ref="S334" r:id="rId990"/>
    <hyperlink xmlns:r="http://schemas.openxmlformats.org/officeDocument/2006/relationships" ref="E335" r:id="rId991"/>
    <hyperlink xmlns:r="http://schemas.openxmlformats.org/officeDocument/2006/relationships" ref="R335" r:id="rId992"/>
    <hyperlink xmlns:r="http://schemas.openxmlformats.org/officeDocument/2006/relationships" ref="S335" r:id="rId993"/>
    <hyperlink xmlns:r="http://schemas.openxmlformats.org/officeDocument/2006/relationships" ref="E336" r:id="rId994"/>
    <hyperlink xmlns:r="http://schemas.openxmlformats.org/officeDocument/2006/relationships" ref="R336" r:id="rId995"/>
    <hyperlink xmlns:r="http://schemas.openxmlformats.org/officeDocument/2006/relationships" ref="S336" r:id="rId996"/>
    <hyperlink xmlns:r="http://schemas.openxmlformats.org/officeDocument/2006/relationships" ref="E337" r:id="rId997"/>
    <hyperlink xmlns:r="http://schemas.openxmlformats.org/officeDocument/2006/relationships" ref="R337" r:id="rId998"/>
    <hyperlink xmlns:r="http://schemas.openxmlformats.org/officeDocument/2006/relationships" ref="S337" r:id="rId999"/>
    <hyperlink xmlns:r="http://schemas.openxmlformats.org/officeDocument/2006/relationships" ref="E338" r:id="rId1000"/>
    <hyperlink xmlns:r="http://schemas.openxmlformats.org/officeDocument/2006/relationships" ref="R338" r:id="rId1001"/>
    <hyperlink xmlns:r="http://schemas.openxmlformats.org/officeDocument/2006/relationships" ref="S338" r:id="rId1002"/>
    <hyperlink xmlns:r="http://schemas.openxmlformats.org/officeDocument/2006/relationships" ref="E339" r:id="rId1003"/>
    <hyperlink xmlns:r="http://schemas.openxmlformats.org/officeDocument/2006/relationships" ref="R339" r:id="rId1004"/>
    <hyperlink xmlns:r="http://schemas.openxmlformats.org/officeDocument/2006/relationships" ref="S339" r:id="rId1005"/>
    <hyperlink xmlns:r="http://schemas.openxmlformats.org/officeDocument/2006/relationships" ref="E340" r:id="rId1006"/>
    <hyperlink xmlns:r="http://schemas.openxmlformats.org/officeDocument/2006/relationships" ref="R340" r:id="rId1007"/>
    <hyperlink xmlns:r="http://schemas.openxmlformats.org/officeDocument/2006/relationships" ref="S340" r:id="rId1008"/>
    <hyperlink xmlns:r="http://schemas.openxmlformats.org/officeDocument/2006/relationships" ref="E341" r:id="rId1009"/>
    <hyperlink xmlns:r="http://schemas.openxmlformats.org/officeDocument/2006/relationships" ref="R341" r:id="rId1010"/>
    <hyperlink xmlns:r="http://schemas.openxmlformats.org/officeDocument/2006/relationships" ref="S341" r:id="rId1011"/>
    <hyperlink xmlns:r="http://schemas.openxmlformats.org/officeDocument/2006/relationships" ref="E342" r:id="rId1012"/>
    <hyperlink xmlns:r="http://schemas.openxmlformats.org/officeDocument/2006/relationships" ref="R342" r:id="rId1013"/>
    <hyperlink xmlns:r="http://schemas.openxmlformats.org/officeDocument/2006/relationships" ref="S342" r:id="rId1014"/>
    <hyperlink xmlns:r="http://schemas.openxmlformats.org/officeDocument/2006/relationships" ref="E343" r:id="rId1015"/>
    <hyperlink xmlns:r="http://schemas.openxmlformats.org/officeDocument/2006/relationships" ref="R343" r:id="rId1016"/>
    <hyperlink xmlns:r="http://schemas.openxmlformats.org/officeDocument/2006/relationships" ref="S343" r:id="rId1017"/>
    <hyperlink xmlns:r="http://schemas.openxmlformats.org/officeDocument/2006/relationships" ref="E344" r:id="rId1018"/>
    <hyperlink xmlns:r="http://schemas.openxmlformats.org/officeDocument/2006/relationships" ref="R344" r:id="rId1019"/>
    <hyperlink xmlns:r="http://schemas.openxmlformats.org/officeDocument/2006/relationships" ref="S344" r:id="rId1020"/>
    <hyperlink xmlns:r="http://schemas.openxmlformats.org/officeDocument/2006/relationships" ref="E345" r:id="rId1021"/>
    <hyperlink xmlns:r="http://schemas.openxmlformats.org/officeDocument/2006/relationships" ref="R345" r:id="rId1022"/>
    <hyperlink xmlns:r="http://schemas.openxmlformats.org/officeDocument/2006/relationships" ref="S345" r:id="rId1023"/>
    <hyperlink xmlns:r="http://schemas.openxmlformats.org/officeDocument/2006/relationships" ref="E346" r:id="rId1024"/>
    <hyperlink xmlns:r="http://schemas.openxmlformats.org/officeDocument/2006/relationships" ref="R346" r:id="rId1025"/>
    <hyperlink xmlns:r="http://schemas.openxmlformats.org/officeDocument/2006/relationships" ref="S346" r:id="rId1026"/>
    <hyperlink xmlns:r="http://schemas.openxmlformats.org/officeDocument/2006/relationships" ref="E347" r:id="rId1027"/>
    <hyperlink xmlns:r="http://schemas.openxmlformats.org/officeDocument/2006/relationships" ref="R347" r:id="rId1028"/>
    <hyperlink xmlns:r="http://schemas.openxmlformats.org/officeDocument/2006/relationships" ref="S347" r:id="rId1029"/>
    <hyperlink xmlns:r="http://schemas.openxmlformats.org/officeDocument/2006/relationships" ref="E348" r:id="rId1030"/>
    <hyperlink xmlns:r="http://schemas.openxmlformats.org/officeDocument/2006/relationships" ref="R348" r:id="rId1031"/>
    <hyperlink xmlns:r="http://schemas.openxmlformats.org/officeDocument/2006/relationships" ref="S348" r:id="rId1032"/>
    <hyperlink xmlns:r="http://schemas.openxmlformats.org/officeDocument/2006/relationships" ref="E349" r:id="rId1033"/>
    <hyperlink xmlns:r="http://schemas.openxmlformats.org/officeDocument/2006/relationships" ref="R349" r:id="rId1034"/>
    <hyperlink xmlns:r="http://schemas.openxmlformats.org/officeDocument/2006/relationships" ref="S349" r:id="rId1035"/>
    <hyperlink xmlns:r="http://schemas.openxmlformats.org/officeDocument/2006/relationships" ref="E350" r:id="rId1036"/>
    <hyperlink xmlns:r="http://schemas.openxmlformats.org/officeDocument/2006/relationships" ref="R350" r:id="rId1037"/>
    <hyperlink xmlns:r="http://schemas.openxmlformats.org/officeDocument/2006/relationships" ref="S350" r:id="rId1038"/>
    <hyperlink xmlns:r="http://schemas.openxmlformats.org/officeDocument/2006/relationships" ref="E351" r:id="rId1039"/>
    <hyperlink xmlns:r="http://schemas.openxmlformats.org/officeDocument/2006/relationships" ref="R351" r:id="rId1040"/>
    <hyperlink xmlns:r="http://schemas.openxmlformats.org/officeDocument/2006/relationships" ref="S351" r:id="rId1041"/>
    <hyperlink xmlns:r="http://schemas.openxmlformats.org/officeDocument/2006/relationships" ref="E352" r:id="rId1042"/>
    <hyperlink xmlns:r="http://schemas.openxmlformats.org/officeDocument/2006/relationships" ref="R352" r:id="rId1043"/>
    <hyperlink xmlns:r="http://schemas.openxmlformats.org/officeDocument/2006/relationships" ref="S352" r:id="rId1044"/>
    <hyperlink xmlns:r="http://schemas.openxmlformats.org/officeDocument/2006/relationships" ref="E353" r:id="rId1045"/>
    <hyperlink xmlns:r="http://schemas.openxmlformats.org/officeDocument/2006/relationships" ref="R353" r:id="rId1046"/>
    <hyperlink xmlns:r="http://schemas.openxmlformats.org/officeDocument/2006/relationships" ref="S353" r:id="rId1047"/>
    <hyperlink xmlns:r="http://schemas.openxmlformats.org/officeDocument/2006/relationships" ref="E354" r:id="rId1048"/>
    <hyperlink xmlns:r="http://schemas.openxmlformats.org/officeDocument/2006/relationships" ref="R354" r:id="rId1049"/>
    <hyperlink xmlns:r="http://schemas.openxmlformats.org/officeDocument/2006/relationships" ref="S354" r:id="rId1050"/>
    <hyperlink xmlns:r="http://schemas.openxmlformats.org/officeDocument/2006/relationships" ref="E355" r:id="rId1051"/>
    <hyperlink xmlns:r="http://schemas.openxmlformats.org/officeDocument/2006/relationships" ref="R355" r:id="rId1052"/>
    <hyperlink xmlns:r="http://schemas.openxmlformats.org/officeDocument/2006/relationships" ref="S355" r:id="rId1053"/>
    <hyperlink xmlns:r="http://schemas.openxmlformats.org/officeDocument/2006/relationships" ref="E356" r:id="rId1054"/>
    <hyperlink xmlns:r="http://schemas.openxmlformats.org/officeDocument/2006/relationships" ref="R356" r:id="rId1055"/>
    <hyperlink xmlns:r="http://schemas.openxmlformats.org/officeDocument/2006/relationships" ref="S356" r:id="rId1056"/>
    <hyperlink xmlns:r="http://schemas.openxmlformats.org/officeDocument/2006/relationships" ref="E357" r:id="rId1057"/>
    <hyperlink xmlns:r="http://schemas.openxmlformats.org/officeDocument/2006/relationships" ref="R357" r:id="rId1058"/>
    <hyperlink xmlns:r="http://schemas.openxmlformats.org/officeDocument/2006/relationships" ref="S357" r:id="rId1059"/>
    <hyperlink xmlns:r="http://schemas.openxmlformats.org/officeDocument/2006/relationships" ref="E358" r:id="rId1060"/>
    <hyperlink xmlns:r="http://schemas.openxmlformats.org/officeDocument/2006/relationships" ref="R358" r:id="rId1061"/>
    <hyperlink xmlns:r="http://schemas.openxmlformats.org/officeDocument/2006/relationships" ref="S358" r:id="rId1062"/>
    <hyperlink xmlns:r="http://schemas.openxmlformats.org/officeDocument/2006/relationships" ref="E359" r:id="rId1063"/>
    <hyperlink xmlns:r="http://schemas.openxmlformats.org/officeDocument/2006/relationships" ref="R359" r:id="rId1064"/>
    <hyperlink xmlns:r="http://schemas.openxmlformats.org/officeDocument/2006/relationships" ref="S359" r:id="rId1065"/>
    <hyperlink xmlns:r="http://schemas.openxmlformats.org/officeDocument/2006/relationships" ref="E360" r:id="rId1066"/>
    <hyperlink xmlns:r="http://schemas.openxmlformats.org/officeDocument/2006/relationships" ref="R360" r:id="rId1067"/>
    <hyperlink xmlns:r="http://schemas.openxmlformats.org/officeDocument/2006/relationships" ref="S360" r:id="rId1068"/>
    <hyperlink xmlns:r="http://schemas.openxmlformats.org/officeDocument/2006/relationships" ref="E361" r:id="rId1069"/>
    <hyperlink xmlns:r="http://schemas.openxmlformats.org/officeDocument/2006/relationships" ref="R361" r:id="rId1070"/>
    <hyperlink xmlns:r="http://schemas.openxmlformats.org/officeDocument/2006/relationships" ref="S361" r:id="rId1071"/>
    <hyperlink xmlns:r="http://schemas.openxmlformats.org/officeDocument/2006/relationships" ref="E362" r:id="rId1072"/>
    <hyperlink xmlns:r="http://schemas.openxmlformats.org/officeDocument/2006/relationships" ref="R362" r:id="rId1073"/>
    <hyperlink xmlns:r="http://schemas.openxmlformats.org/officeDocument/2006/relationships" ref="S362" r:id="rId1074"/>
    <hyperlink xmlns:r="http://schemas.openxmlformats.org/officeDocument/2006/relationships" ref="E363" r:id="rId1075"/>
    <hyperlink xmlns:r="http://schemas.openxmlformats.org/officeDocument/2006/relationships" ref="R363" r:id="rId1076"/>
    <hyperlink xmlns:r="http://schemas.openxmlformats.org/officeDocument/2006/relationships" ref="S363" r:id="rId1077"/>
    <hyperlink xmlns:r="http://schemas.openxmlformats.org/officeDocument/2006/relationships" ref="E364" r:id="rId1078"/>
    <hyperlink xmlns:r="http://schemas.openxmlformats.org/officeDocument/2006/relationships" ref="R364" r:id="rId1079"/>
    <hyperlink xmlns:r="http://schemas.openxmlformats.org/officeDocument/2006/relationships" ref="S364" r:id="rId1080"/>
    <hyperlink xmlns:r="http://schemas.openxmlformats.org/officeDocument/2006/relationships" ref="E365" r:id="rId1081"/>
    <hyperlink xmlns:r="http://schemas.openxmlformats.org/officeDocument/2006/relationships" ref="R365" r:id="rId1082"/>
    <hyperlink xmlns:r="http://schemas.openxmlformats.org/officeDocument/2006/relationships" ref="S365" r:id="rId1083"/>
    <hyperlink xmlns:r="http://schemas.openxmlformats.org/officeDocument/2006/relationships" ref="E366" r:id="rId1084"/>
    <hyperlink xmlns:r="http://schemas.openxmlformats.org/officeDocument/2006/relationships" ref="R366" r:id="rId1085"/>
    <hyperlink xmlns:r="http://schemas.openxmlformats.org/officeDocument/2006/relationships" ref="S366" r:id="rId1086"/>
    <hyperlink xmlns:r="http://schemas.openxmlformats.org/officeDocument/2006/relationships" ref="E367" r:id="rId1087"/>
    <hyperlink xmlns:r="http://schemas.openxmlformats.org/officeDocument/2006/relationships" ref="R367" r:id="rId1088"/>
    <hyperlink xmlns:r="http://schemas.openxmlformats.org/officeDocument/2006/relationships" ref="S367" r:id="rId1089"/>
    <hyperlink xmlns:r="http://schemas.openxmlformats.org/officeDocument/2006/relationships" ref="E368" r:id="rId1090"/>
    <hyperlink xmlns:r="http://schemas.openxmlformats.org/officeDocument/2006/relationships" ref="R368" r:id="rId1091"/>
    <hyperlink xmlns:r="http://schemas.openxmlformats.org/officeDocument/2006/relationships" ref="S368" r:id="rId1092"/>
    <hyperlink xmlns:r="http://schemas.openxmlformats.org/officeDocument/2006/relationships" ref="E369" r:id="rId1093"/>
    <hyperlink xmlns:r="http://schemas.openxmlformats.org/officeDocument/2006/relationships" ref="R369" r:id="rId1094"/>
    <hyperlink xmlns:r="http://schemas.openxmlformats.org/officeDocument/2006/relationships" ref="S369" r:id="rId1095"/>
    <hyperlink xmlns:r="http://schemas.openxmlformats.org/officeDocument/2006/relationships" ref="E370" r:id="rId1096"/>
    <hyperlink xmlns:r="http://schemas.openxmlformats.org/officeDocument/2006/relationships" ref="R370" r:id="rId1097"/>
    <hyperlink xmlns:r="http://schemas.openxmlformats.org/officeDocument/2006/relationships" ref="S370" r:id="rId1098"/>
    <hyperlink xmlns:r="http://schemas.openxmlformats.org/officeDocument/2006/relationships" ref="E371" r:id="rId1099"/>
    <hyperlink xmlns:r="http://schemas.openxmlformats.org/officeDocument/2006/relationships" ref="R371" r:id="rId1100"/>
    <hyperlink xmlns:r="http://schemas.openxmlformats.org/officeDocument/2006/relationships" ref="S371" r:id="rId1101"/>
    <hyperlink xmlns:r="http://schemas.openxmlformats.org/officeDocument/2006/relationships" ref="E372" r:id="rId1102"/>
    <hyperlink xmlns:r="http://schemas.openxmlformats.org/officeDocument/2006/relationships" ref="R372" r:id="rId1103"/>
    <hyperlink xmlns:r="http://schemas.openxmlformats.org/officeDocument/2006/relationships" ref="S372" r:id="rId1104"/>
    <hyperlink xmlns:r="http://schemas.openxmlformats.org/officeDocument/2006/relationships" ref="E373" r:id="rId1105"/>
    <hyperlink xmlns:r="http://schemas.openxmlformats.org/officeDocument/2006/relationships" ref="R373" r:id="rId1106"/>
    <hyperlink xmlns:r="http://schemas.openxmlformats.org/officeDocument/2006/relationships" ref="S373" r:id="rId1107"/>
    <hyperlink xmlns:r="http://schemas.openxmlformats.org/officeDocument/2006/relationships" ref="E374" r:id="rId1108"/>
    <hyperlink xmlns:r="http://schemas.openxmlformats.org/officeDocument/2006/relationships" ref="R374" r:id="rId1109"/>
    <hyperlink xmlns:r="http://schemas.openxmlformats.org/officeDocument/2006/relationships" ref="S374" r:id="rId1110"/>
    <hyperlink xmlns:r="http://schemas.openxmlformats.org/officeDocument/2006/relationships" ref="E375" r:id="rId1111"/>
    <hyperlink xmlns:r="http://schemas.openxmlformats.org/officeDocument/2006/relationships" ref="R375" r:id="rId1112"/>
    <hyperlink xmlns:r="http://schemas.openxmlformats.org/officeDocument/2006/relationships" ref="S375" r:id="rId1113"/>
    <hyperlink xmlns:r="http://schemas.openxmlformats.org/officeDocument/2006/relationships" ref="E376" r:id="rId1114"/>
    <hyperlink xmlns:r="http://schemas.openxmlformats.org/officeDocument/2006/relationships" ref="R376" r:id="rId1115"/>
    <hyperlink xmlns:r="http://schemas.openxmlformats.org/officeDocument/2006/relationships" ref="S376" r:id="rId1116"/>
    <hyperlink xmlns:r="http://schemas.openxmlformats.org/officeDocument/2006/relationships" ref="E377" r:id="rId1117"/>
    <hyperlink xmlns:r="http://schemas.openxmlformats.org/officeDocument/2006/relationships" ref="R377" r:id="rId1118"/>
    <hyperlink xmlns:r="http://schemas.openxmlformats.org/officeDocument/2006/relationships" ref="S377" r:id="rId1119"/>
    <hyperlink xmlns:r="http://schemas.openxmlformats.org/officeDocument/2006/relationships" ref="E378" r:id="rId1120"/>
    <hyperlink xmlns:r="http://schemas.openxmlformats.org/officeDocument/2006/relationships" ref="R378" r:id="rId1121"/>
    <hyperlink xmlns:r="http://schemas.openxmlformats.org/officeDocument/2006/relationships" ref="S378" r:id="rId1122"/>
    <hyperlink xmlns:r="http://schemas.openxmlformats.org/officeDocument/2006/relationships" ref="E379" r:id="rId1123"/>
    <hyperlink xmlns:r="http://schemas.openxmlformats.org/officeDocument/2006/relationships" ref="R379" r:id="rId1124"/>
    <hyperlink xmlns:r="http://schemas.openxmlformats.org/officeDocument/2006/relationships" ref="S379" r:id="rId1125"/>
    <hyperlink xmlns:r="http://schemas.openxmlformats.org/officeDocument/2006/relationships" ref="E380" r:id="rId1126"/>
    <hyperlink xmlns:r="http://schemas.openxmlformats.org/officeDocument/2006/relationships" ref="R380" r:id="rId1127"/>
    <hyperlink xmlns:r="http://schemas.openxmlformats.org/officeDocument/2006/relationships" ref="S380" r:id="rId1128"/>
    <hyperlink xmlns:r="http://schemas.openxmlformats.org/officeDocument/2006/relationships" ref="E381" r:id="rId1129"/>
    <hyperlink xmlns:r="http://schemas.openxmlformats.org/officeDocument/2006/relationships" ref="R381" r:id="rId1130"/>
    <hyperlink xmlns:r="http://schemas.openxmlformats.org/officeDocument/2006/relationships" ref="S381" r:id="rId1131"/>
    <hyperlink xmlns:r="http://schemas.openxmlformats.org/officeDocument/2006/relationships" ref="E382" r:id="rId1132"/>
    <hyperlink xmlns:r="http://schemas.openxmlformats.org/officeDocument/2006/relationships" ref="R382" r:id="rId1133"/>
    <hyperlink xmlns:r="http://schemas.openxmlformats.org/officeDocument/2006/relationships" ref="S382" r:id="rId1134"/>
    <hyperlink xmlns:r="http://schemas.openxmlformats.org/officeDocument/2006/relationships" ref="E383" r:id="rId1135"/>
    <hyperlink xmlns:r="http://schemas.openxmlformats.org/officeDocument/2006/relationships" ref="R383" r:id="rId1136"/>
    <hyperlink xmlns:r="http://schemas.openxmlformats.org/officeDocument/2006/relationships" ref="S383" r:id="rId1137"/>
    <hyperlink xmlns:r="http://schemas.openxmlformats.org/officeDocument/2006/relationships" ref="E384" r:id="rId1138"/>
    <hyperlink xmlns:r="http://schemas.openxmlformats.org/officeDocument/2006/relationships" ref="R384" r:id="rId1139"/>
    <hyperlink xmlns:r="http://schemas.openxmlformats.org/officeDocument/2006/relationships" ref="S384" r:id="rId1140"/>
    <hyperlink xmlns:r="http://schemas.openxmlformats.org/officeDocument/2006/relationships" ref="E385" r:id="rId1141"/>
    <hyperlink xmlns:r="http://schemas.openxmlformats.org/officeDocument/2006/relationships" ref="R385" r:id="rId1142"/>
    <hyperlink xmlns:r="http://schemas.openxmlformats.org/officeDocument/2006/relationships" ref="S385" r:id="rId1143"/>
    <hyperlink xmlns:r="http://schemas.openxmlformats.org/officeDocument/2006/relationships" ref="E386" r:id="rId1144"/>
    <hyperlink xmlns:r="http://schemas.openxmlformats.org/officeDocument/2006/relationships" ref="R386" r:id="rId1145"/>
    <hyperlink xmlns:r="http://schemas.openxmlformats.org/officeDocument/2006/relationships" ref="S386" r:id="rId1146"/>
    <hyperlink xmlns:r="http://schemas.openxmlformats.org/officeDocument/2006/relationships" ref="E387" r:id="rId1147"/>
    <hyperlink xmlns:r="http://schemas.openxmlformats.org/officeDocument/2006/relationships" ref="R387" r:id="rId1148"/>
    <hyperlink xmlns:r="http://schemas.openxmlformats.org/officeDocument/2006/relationships" ref="S387" r:id="rId1149"/>
    <hyperlink xmlns:r="http://schemas.openxmlformats.org/officeDocument/2006/relationships" ref="E388" r:id="rId1150"/>
    <hyperlink xmlns:r="http://schemas.openxmlformats.org/officeDocument/2006/relationships" ref="R388" r:id="rId1151"/>
    <hyperlink xmlns:r="http://schemas.openxmlformats.org/officeDocument/2006/relationships" ref="S388" r:id="rId1152"/>
    <hyperlink xmlns:r="http://schemas.openxmlformats.org/officeDocument/2006/relationships" ref="E389" r:id="rId1153"/>
    <hyperlink xmlns:r="http://schemas.openxmlformats.org/officeDocument/2006/relationships" ref="R389" r:id="rId1154"/>
    <hyperlink xmlns:r="http://schemas.openxmlformats.org/officeDocument/2006/relationships" ref="S389" r:id="rId1155"/>
    <hyperlink xmlns:r="http://schemas.openxmlformats.org/officeDocument/2006/relationships" ref="E390" r:id="rId1156"/>
    <hyperlink xmlns:r="http://schemas.openxmlformats.org/officeDocument/2006/relationships" ref="R390" r:id="rId1157"/>
    <hyperlink xmlns:r="http://schemas.openxmlformats.org/officeDocument/2006/relationships" ref="S390" r:id="rId1158"/>
    <hyperlink xmlns:r="http://schemas.openxmlformats.org/officeDocument/2006/relationships" ref="E391" r:id="rId1159"/>
    <hyperlink xmlns:r="http://schemas.openxmlformats.org/officeDocument/2006/relationships" ref="R391" r:id="rId1160"/>
    <hyperlink xmlns:r="http://schemas.openxmlformats.org/officeDocument/2006/relationships" ref="S391" r:id="rId1161"/>
    <hyperlink xmlns:r="http://schemas.openxmlformats.org/officeDocument/2006/relationships" ref="E392" r:id="rId1162"/>
    <hyperlink xmlns:r="http://schemas.openxmlformats.org/officeDocument/2006/relationships" ref="R392" r:id="rId1163"/>
    <hyperlink xmlns:r="http://schemas.openxmlformats.org/officeDocument/2006/relationships" ref="S392" r:id="rId1164"/>
    <hyperlink xmlns:r="http://schemas.openxmlformats.org/officeDocument/2006/relationships" ref="E393" r:id="rId1165"/>
    <hyperlink xmlns:r="http://schemas.openxmlformats.org/officeDocument/2006/relationships" ref="R393" r:id="rId1166"/>
    <hyperlink xmlns:r="http://schemas.openxmlformats.org/officeDocument/2006/relationships" ref="S393" r:id="rId1167"/>
    <hyperlink xmlns:r="http://schemas.openxmlformats.org/officeDocument/2006/relationships" ref="E394" r:id="rId1168"/>
    <hyperlink xmlns:r="http://schemas.openxmlformats.org/officeDocument/2006/relationships" ref="R394" r:id="rId1169"/>
    <hyperlink xmlns:r="http://schemas.openxmlformats.org/officeDocument/2006/relationships" ref="S394" r:id="rId1170"/>
    <hyperlink xmlns:r="http://schemas.openxmlformats.org/officeDocument/2006/relationships" ref="E395" r:id="rId1171"/>
    <hyperlink xmlns:r="http://schemas.openxmlformats.org/officeDocument/2006/relationships" ref="R395" r:id="rId1172"/>
    <hyperlink xmlns:r="http://schemas.openxmlformats.org/officeDocument/2006/relationships" ref="S395" r:id="rId1173"/>
    <hyperlink xmlns:r="http://schemas.openxmlformats.org/officeDocument/2006/relationships" ref="E396" r:id="rId1174"/>
    <hyperlink xmlns:r="http://schemas.openxmlformats.org/officeDocument/2006/relationships" ref="R396" r:id="rId1175"/>
    <hyperlink xmlns:r="http://schemas.openxmlformats.org/officeDocument/2006/relationships" ref="S396" r:id="rId1176"/>
  </hyperlinks>
  <pageMargins left="0.4" right="0.4" top="0.5" bottom="0.5" header="0.5" footer="0.5"/>
  <pageSetup orientation="landscape" paperSize="1" fitToHeight="0" fitToWidth="1"/>
  <headerFooter>
    <oddHeader>&amp;R&amp;8 &amp;K8A7E72Parcis · Evaluation copy</oddHeader>
    <oddFooter>&amp;L&amp;8 Parcis · © 2026 Joshua Seaton. All rights reserved. Evaluation copy.&amp;C&amp;8 &amp;A&amp;R&amp;8 Page &amp;P of &amp;N</oddFooter>
    <evenHeader/>
    <evenFooter/>
    <firstHeader/>
    <firstFooter/>
  </headerFooter>
  <tableParts count="1">
    <tablePart xmlns:r="http://schemas.openxmlformats.org/officeDocument/2006/relationships" r:id="rId1177"/>
  </tableParts>
</worksheet>
</file>

<file path=xl/worksheets/sheet6.xml><?xml version="1.0" encoding="utf-8"?>
<worksheet xmlns="http://schemas.openxmlformats.org/spreadsheetml/2006/main">
  <sheetPr>
    <tabColor rgb="008A7E72"/>
    <outlinePr summaryBelow="1" summaryRight="1"/>
    <pageSetUpPr fitToPage="1"/>
  </sheetPr>
  <dimension ref="A1:K7"/>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0" customWidth="1" min="1" max="1"/>
    <col width="9" customWidth="1" min="2" max="2"/>
    <col width="22" customWidth="1" min="3" max="3"/>
    <col width="22" customWidth="1" min="4" max="4"/>
    <col width="22" customWidth="1" min="5" max="5"/>
    <col width="30" customWidth="1" min="6" max="6"/>
    <col width="22" customWidth="1" min="7" max="7"/>
    <col width="12" customWidth="1" min="8" max="8"/>
    <col width="70" customWidth="1" min="9" max="9"/>
    <col width="8" customWidth="1" min="10" max="10"/>
    <col width="12" customWidth="1" min="11" max="11"/>
  </cols>
  <sheetData>
    <row r="1" ht="34" customHeight="1">
      <c r="A1" s="1" t="inlineStr">
        <is>
          <t>Development applications near each lot</t>
        </is>
      </c>
    </row>
    <row r="2" ht="34" customHeight="1">
      <c r="A2" s="56" t="inlineStr">
        <is>
          <t>Rezonings and Official Plan amendments (OZ), site plans (SA), subdivisions (SB), condominiums (CD) and part lot control (PL). Documents opens the application in the Application Information Centre, or emails Development Review for closed ones; Raw City data opens the Open Data row.  ·  Parcis · © 2026 Joshua Seaton. All rights reserved. Evaluation copy.</t>
        </is>
      </c>
    </row>
    <row r="3" ht="20" customHeight="1">
      <c r="A3" s="57" t="inlineStr">
        <is>
          <t>← Summary</t>
        </is>
      </c>
    </row>
    <row r="4" ht="30" customHeight="1">
      <c r="A4" s="58" t="inlineStr">
        <is>
          <t>Lot</t>
        </is>
      </c>
      <c r="B4" s="58" t="inlineStr">
        <is>
          <t>Dist. (m)</t>
        </is>
      </c>
      <c r="C4" s="58" t="inlineStr">
        <is>
          <t>Address</t>
        </is>
      </c>
      <c r="D4" s="58" t="inlineStr">
        <is>
          <t>Application</t>
        </is>
      </c>
      <c r="E4" s="58" t="inlineStr">
        <is>
          <t>Documents</t>
        </is>
      </c>
      <c r="F4" s="58" t="inlineStr">
        <is>
          <t>Type</t>
        </is>
      </c>
      <c r="G4" s="58" t="inlineStr">
        <is>
          <t>Status</t>
        </is>
      </c>
      <c r="H4" s="58" t="inlineStr">
        <is>
          <t>Submitted</t>
        </is>
      </c>
      <c r="I4" s="58" t="inlineStr">
        <is>
          <t>Description</t>
        </is>
      </c>
      <c r="J4" s="58" t="inlineStr">
        <is>
          <t>Map</t>
        </is>
      </c>
      <c r="K4" s="58" t="inlineStr">
        <is>
          <t>Raw City data</t>
        </is>
      </c>
    </row>
    <row r="5" ht="42" customHeight="1">
      <c r="A5" s="59" t="inlineStr">
        <is>
          <t>65 Bristol Ave</t>
        </is>
      </c>
      <c r="B5" s="60" t="n">
        <v>119</v>
      </c>
      <c r="C5" s="59" t="inlineStr">
        <is>
          <t>1423 Dufferin St</t>
        </is>
      </c>
      <c r="D5" s="59" t="inlineStr">
        <is>
          <t>26 210726 STE 09 SA</t>
        </is>
      </c>
      <c r="E5" s="61" t="inlineStr">
        <is>
          <t>Open on City site</t>
        </is>
      </c>
      <c r="F5" s="59" t="inlineStr">
        <is>
          <t>Site Plan Approval</t>
        </is>
      </c>
      <c r="G5" s="59" t="inlineStr">
        <is>
          <t>Application Received</t>
        </is>
      </c>
      <c r="H5" s="63" t="n">
        <v>46232</v>
      </c>
      <c r="I5" s="65" t="inlineStr">
        <is>
          <t>Proposed 9-storey (28.5 metre) apartment, containing 60 residential units with a total of 3,817 square metres of residential GFA and 122 square metres of commercial GFA.</t>
        </is>
      </c>
      <c r="J5" s="61" t="inlineStr">
        <is>
          <t>Map</t>
        </is>
      </c>
      <c r="K5" s="61" t="inlineStr">
        <is>
          <t>Raw data</t>
        </is>
      </c>
    </row>
    <row r="6" ht="55" customHeight="1">
      <c r="A6" s="59" t="inlineStr">
        <is>
          <t>65 Bristol Ave</t>
        </is>
      </c>
      <c r="B6" s="60" t="n">
        <v>119</v>
      </c>
      <c r="C6" s="59" t="inlineStr">
        <is>
          <t>1423 Dufferin St</t>
        </is>
      </c>
      <c r="D6" s="59" t="inlineStr">
        <is>
          <t>25 240145 STE 09 OZ</t>
        </is>
      </c>
      <c r="E6" s="61" t="inlineStr">
        <is>
          <t>Open on City site</t>
        </is>
      </c>
      <c r="F6" s="59" t="inlineStr">
        <is>
          <t>Official Plan Amendment / Rezoning</t>
        </is>
      </c>
      <c r="G6" s="59" t="inlineStr">
        <is>
          <t>Closed</t>
        </is>
      </c>
      <c r="H6" s="63" t="n">
        <v>45945</v>
      </c>
      <c r="I6" s="65" t="inlineStr">
        <is>
          <t>The proposed development replaces the existing vacant 2-storey dwelling with a new 9-storey mixed-use building, containing 60 residential units with a total of 3,961 square metres of residential GFA and 123 square metres of non-residential GFA.</t>
        </is>
      </c>
      <c r="J6" s="61" t="inlineStr">
        <is>
          <t>Map</t>
        </is>
      </c>
      <c r="K6" s="61" t="inlineStr">
        <is>
          <t>Raw data</t>
        </is>
      </c>
    </row>
    <row r="7" ht="42" customHeight="1">
      <c r="A7" s="59" t="inlineStr">
        <is>
          <t>65 Bristol Ave</t>
        </is>
      </c>
      <c r="B7" s="60" t="n">
        <v>149</v>
      </c>
      <c r="C7" s="59" t="inlineStr">
        <is>
          <t>1455 Dufferin St</t>
        </is>
      </c>
      <c r="D7" s="59" t="inlineStr">
        <is>
          <t>14 213788 WET 17 SA</t>
        </is>
      </c>
      <c r="E7" s="61" t="inlineStr">
        <is>
          <t>developmentreview@toronto.ca</t>
        </is>
      </c>
      <c r="F7" s="59" t="inlineStr">
        <is>
          <t>Site Plan Approval</t>
        </is>
      </c>
      <c r="G7" s="59" t="inlineStr">
        <is>
          <t>Closed</t>
        </is>
      </c>
      <c r="H7" s="63" t="n">
        <v>41879</v>
      </c>
      <c r="I7" s="65" t="inlineStr">
        <is>
          <t>Proposal to permit the construction of six three-storey townhouse units with integral garages.  Parking for the units would be provided via a rear laneway.  The existing building would be demolished.</t>
        </is>
      </c>
      <c r="J7" s="61" t="inlineStr">
        <is>
          <t>Map</t>
        </is>
      </c>
      <c r="K7" s="61" t="inlineStr">
        <is>
          <t>Raw data</t>
        </is>
      </c>
    </row>
  </sheetData>
  <mergeCells count="2">
    <mergeCell ref="A2:K2"/>
    <mergeCell ref="A1:K1"/>
  </mergeCells>
  <hyperlinks>
    <hyperlink ref="A3" location="'Summary'!A1" display="← Summary"/>
    <hyperlink xmlns:r="http://schemas.openxmlformats.org/officeDocument/2006/relationships" ref="E5" r:id="rId1"/>
    <hyperlink xmlns:r="http://schemas.openxmlformats.org/officeDocument/2006/relationships" ref="J5" r:id="rId2"/>
    <hyperlink xmlns:r="http://schemas.openxmlformats.org/officeDocument/2006/relationships" ref="K5" r:id="rId3"/>
    <hyperlink xmlns:r="http://schemas.openxmlformats.org/officeDocument/2006/relationships" ref="E6" r:id="rId4"/>
    <hyperlink xmlns:r="http://schemas.openxmlformats.org/officeDocument/2006/relationships" ref="J6" r:id="rId5"/>
    <hyperlink xmlns:r="http://schemas.openxmlformats.org/officeDocument/2006/relationships" ref="K6" r:id="rId6"/>
    <hyperlink xmlns:r="http://schemas.openxmlformats.org/officeDocument/2006/relationships" ref="E7" r:id="rId7"/>
    <hyperlink xmlns:r="http://schemas.openxmlformats.org/officeDocument/2006/relationships" ref="J7" r:id="rId8"/>
    <hyperlink xmlns:r="http://schemas.openxmlformats.org/officeDocument/2006/relationships" ref="K7" r:id="rId9"/>
  </hyperlinks>
  <pageMargins left="0.4" right="0.4" top="0.5" bottom="0.5" header="0.5" footer="0.5"/>
  <pageSetup orientation="landscape" paperSize="1" fitToHeight="0" fitToWidth="1"/>
  <headerFooter>
    <oddHeader>&amp;R&amp;8 &amp;K8A7E72Parcis · Evaluation copy</oddHeader>
    <oddFooter>&amp;L&amp;8 Parcis · © 2026 Joshua Seaton. All rights reserved. Evaluation copy.&amp;C&amp;8 &amp;A&amp;R&amp;8 Page &amp;P of &amp;N</oddFooter>
    <evenHeader/>
    <evenFooter/>
    <firstHeader/>
    <firstFooter/>
  </headerFooter>
  <tableParts count="1">
    <tablePart xmlns:r="http://schemas.openxmlformats.org/officeDocument/2006/relationships" r:id="rId10"/>
  </tableParts>
</worksheet>
</file>

<file path=xl/worksheets/sheet7.xml><?xml version="1.0" encoding="utf-8"?>
<worksheet xmlns="http://schemas.openxmlformats.org/spreadsheetml/2006/main">
  <sheetPr>
    <tabColor rgb="00C5B9AD"/>
    <outlinePr summaryBelow="1" summaryRight="1"/>
    <pageSetUpPr fitToPage="1"/>
  </sheetPr>
  <dimension ref="A1:E59"/>
  <sheetViews>
    <sheetView showGridLines="0" workbookViewId="0">
      <selection activeCell="A1" sqref="A1"/>
    </sheetView>
  </sheetViews>
  <sheetFormatPr baseColWidth="8" defaultRowHeight="15"/>
  <cols>
    <col width="36" customWidth="1" min="1" max="1"/>
    <col width="62" customWidth="1" min="2" max="2"/>
    <col width="16" customWidth="1" min="3" max="3"/>
    <col width="21" customWidth="1" min="4" max="4"/>
    <col width="21" customWidth="1" min="5" max="5"/>
  </cols>
  <sheetData>
    <row r="1" ht="34" customHeight="1">
      <c r="A1" s="1" t="inlineStr">
        <is>
          <t>Sources and method</t>
        </is>
      </c>
    </row>
    <row r="2" ht="34" customHeight="1">
      <c r="A2" s="56" t="inlineStr">
        <is>
          <t>Where every number comes from, how it's counted, and what this workbook can't tell you.  ·  Parcis · © 2026 Joshua Seaton. All rights reserved. Evaluation copy.</t>
        </is>
      </c>
    </row>
    <row r="3">
      <c r="A3" s="57" t="inlineStr">
        <is>
          <t>← Summary</t>
        </is>
      </c>
    </row>
    <row r="5" ht="24" customHeight="1">
      <c r="A5" s="71" t="inlineStr">
        <is>
          <t>CITY OF TORONTO OPEN DATA USED</t>
        </is>
      </c>
      <c r="B5" s="22" t="n"/>
      <c r="C5" s="22" t="n"/>
      <c r="D5" s="22" t="n"/>
      <c r="E5" s="22" t="n"/>
    </row>
    <row r="6" ht="18" customHeight="1">
      <c r="A6" s="72" t="inlineStr">
        <is>
          <t>Dataset</t>
        </is>
      </c>
      <c r="B6" s="72" t="inlineStr">
        <is>
          <t>What it's used for</t>
        </is>
      </c>
      <c r="C6" s="72" t="inlineStr">
        <is>
          <t>Link</t>
        </is>
      </c>
    </row>
    <row r="7" ht="31" customHeight="1">
      <c r="A7" s="73" t="inlineStr">
        <is>
          <t>Committee of Adjustment Applications</t>
        </is>
      </c>
      <c r="B7" s="52" t="inlineStr">
        <is>
          <t>Minor variance and consent files for the lot and its neighbours (active, and closed since 2017)</t>
        </is>
      </c>
      <c r="C7" s="61" t="inlineStr">
        <is>
          <t>open.toronto.ca</t>
        </is>
      </c>
    </row>
    <row r="8" ht="18" customHeight="1">
      <c r="A8" s="73" t="inlineStr">
        <is>
          <t>Building Permits - Active Permits</t>
        </is>
      </c>
      <c r="B8" s="52" t="inlineStr">
        <is>
          <t>Permits applied for or in progress</t>
        </is>
      </c>
      <c r="C8" s="61" t="inlineStr">
        <is>
          <t>open.toronto.ca</t>
        </is>
      </c>
    </row>
    <row r="9" ht="18" customHeight="1">
      <c r="A9" s="73" t="inlineStr">
        <is>
          <t>Building Permits - Cleared Permits</t>
        </is>
      </c>
      <c r="B9" s="52" t="inlineStr">
        <is>
          <t>Permits closed since 2017</t>
        </is>
      </c>
      <c r="C9" s="61" t="inlineStr">
        <is>
          <t>open.toronto.ca</t>
        </is>
      </c>
    </row>
    <row r="10" ht="18" customHeight="1">
      <c r="A10" s="73" t="inlineStr">
        <is>
          <t>Development Applications</t>
        </is>
      </c>
      <c r="B10" s="52" t="inlineStr">
        <is>
          <t>Rezonings and Official Plan amendments near the lot</t>
        </is>
      </c>
      <c r="C10" s="61" t="inlineStr">
        <is>
          <t>open.toronto.ca</t>
        </is>
      </c>
    </row>
    <row r="11" ht="18" customHeight="1">
      <c r="A11" s="73" t="inlineStr">
        <is>
          <t>Zoning By-law 569-2013</t>
        </is>
      </c>
      <c r="B11" s="52" t="inlineStr">
        <is>
          <t>Zone, height, lot coverage and building setback layers at the lot</t>
        </is>
      </c>
      <c r="C11" s="61" t="inlineStr">
        <is>
          <t>open.toronto.ca</t>
        </is>
      </c>
    </row>
    <row r="12" ht="18" customHeight="1">
      <c r="A12" s="73" t="inlineStr">
        <is>
          <t>Secondary Plans</t>
        </is>
      </c>
      <c r="B12" s="52" t="inlineStr">
        <is>
          <t>Secondary plan at the lot</t>
        </is>
      </c>
      <c r="C12" s="61" t="inlineStr">
        <is>
          <t>open.toronto.ca</t>
        </is>
      </c>
    </row>
    <row r="13" ht="18" customHeight="1">
      <c r="A13" s="73" t="inlineStr">
        <is>
          <t>Site and Area Specific Policies</t>
        </is>
      </c>
      <c r="B13" s="52" t="inlineStr">
        <is>
          <t>Site and area specific policy at the lot</t>
        </is>
      </c>
      <c r="C13" s="61" t="inlineStr">
        <is>
          <t>open.toronto.ca</t>
        </is>
      </c>
    </row>
    <row r="14" ht="18" customHeight="1">
      <c r="A14" s="73" t="inlineStr">
        <is>
          <t>Address Points (Municipal)</t>
        </is>
      </c>
      <c r="B14" s="52" t="inlineStr">
        <is>
          <t>Places every record and measures distances</t>
        </is>
      </c>
      <c r="C14" s="61" t="inlineStr">
        <is>
          <t>open.toronto.ca</t>
        </is>
      </c>
    </row>
    <row r="15" ht="31" customHeight="1">
      <c r="A15" s="73" t="inlineStr">
        <is>
          <t>Application Information Centre</t>
        </is>
      </c>
      <c r="B15" s="52" t="inlineStr">
        <is>
          <t>Drawings, decisions and documents for open and recently final Committee of Adjustment files and development applications.</t>
        </is>
      </c>
      <c r="C15" s="61" t="inlineStr">
        <is>
          <t>toronto.ca</t>
        </is>
      </c>
    </row>
    <row r="16" ht="31" customHeight="1">
      <c r="A16" s="73" t="inlineStr">
        <is>
          <t>Committee of Adjustment staff</t>
        </is>
      </c>
      <c r="B16" s="52" t="inlineStr">
        <is>
          <t>Decision notices for files the AIC no longer lists, and anything older than 10 years.</t>
        </is>
      </c>
      <c r="C16" s="61" t="inlineStr">
        <is>
          <t>toronto.ca</t>
        </is>
      </c>
    </row>
    <row r="17" ht="31" customHeight="1">
      <c r="A17" s="73" t="inlineStr">
        <is>
          <t>Research Request Portal</t>
        </is>
      </c>
      <c r="B17" s="52" t="inlineStr">
        <is>
          <t>10 years of CoA decision notices within 500 m ($150 + HST) or 1,000 m ($300 + HST) of an address.</t>
        </is>
      </c>
      <c r="C17" s="61" t="inlineStr">
        <is>
          <t>toronto.ca</t>
        </is>
      </c>
    </row>
    <row r="18" ht="31" customHeight="1">
      <c r="A18" s="73" t="inlineStr">
        <is>
          <t>Building Application Status</t>
        </is>
      </c>
      <c r="B18" s="52" t="inlineStr">
        <is>
          <t>Status and inspections for open permits up to 10 years from application, and permits closed in the last month.</t>
        </is>
      </c>
      <c r="C18" s="61" t="inlineStr">
        <is>
          <t>toronto.ca</t>
        </is>
      </c>
    </row>
    <row r="19" ht="31" customHeight="1">
      <c r="A19" s="73" t="inlineStr">
        <is>
          <t>Building records request</t>
        </is>
      </c>
      <c r="B19" s="52" t="inlineStr">
        <is>
          <t>Drawings and records for older permits: bldrecords@toronto.ca, $76.98, up to 30 business days.</t>
        </is>
      </c>
      <c r="C19" s="61" t="inlineStr">
        <is>
          <t>toronto.ca</t>
        </is>
      </c>
    </row>
    <row r="20" ht="18" customHeight="1">
      <c r="A20" s="73" t="inlineStr">
        <is>
          <t>Zoning By-law 569-2013</t>
        </is>
      </c>
      <c r="B20" s="52" t="inlineStr">
        <is>
          <t>The by-law text, by chapter and exception.</t>
        </is>
      </c>
      <c r="C20" s="61" t="inlineStr">
        <is>
          <t>toronto.ca</t>
        </is>
      </c>
    </row>
    <row r="21" ht="18" customHeight="1">
      <c r="A21" s="73" t="inlineStr">
        <is>
          <t>Interactive zoning map</t>
        </is>
      </c>
      <c r="B21" s="52" t="inlineStr">
        <is>
          <t>The City's own zoning map, centred on the lot.</t>
        </is>
      </c>
      <c r="C21" s="61" t="inlineStr">
        <is>
          <t>toronto.ca</t>
        </is>
      </c>
    </row>
    <row r="23" ht="24" customHeight="1">
      <c r="A23" s="71" t="inlineStr">
        <is>
          <t>DATA CHECK FOR EACH RUN</t>
        </is>
      </c>
      <c r="B23" s="22" t="n"/>
      <c r="C23" s="22" t="n"/>
      <c r="D23" s="22" t="n"/>
      <c r="E23" s="22" t="n"/>
    </row>
    <row r="24" ht="16" customHeight="1">
      <c r="A24" s="74" t="inlineStr">
        <is>
          <t>"Couldn't be checked" means the City's service wasn't reachable. It is missing data, never a finding that there are no records.</t>
        </is>
      </c>
    </row>
    <row r="25" ht="30" customHeight="1">
      <c r="A25" s="75" t="inlineStr">
        <is>
          <t>Source</t>
        </is>
      </c>
      <c r="B25" s="43" t="n"/>
      <c r="C25" s="43" t="n"/>
      <c r="D25" s="58" t="inlineStr">
        <is>
          <t>32 Ardmore Rd
2026-09-30 10:26:20</t>
        </is>
      </c>
      <c r="E25" s="58" t="inlineStr">
        <is>
          <t>65 Bristol Ave
2026-09-30 10:26:25</t>
        </is>
      </c>
    </row>
    <row r="26">
      <c r="A26" s="76" t="inlineStr">
        <is>
          <t>This lot's Committee of Adjustment files</t>
        </is>
      </c>
      <c r="B26" s="31" t="n"/>
      <c r="C26" s="31" t="n"/>
      <c r="D26" s="76" t="inlineStr">
        <is>
          <t>Records found</t>
        </is>
      </c>
      <c r="E26" s="76" t="inlineStr">
        <is>
          <t>Records found</t>
        </is>
      </c>
    </row>
    <row r="27">
      <c r="A27" s="76" t="inlineStr">
        <is>
          <t>This lot's building permits</t>
        </is>
      </c>
      <c r="B27" s="31" t="n"/>
      <c r="C27" s="31" t="n"/>
      <c r="D27" s="76" t="inlineStr">
        <is>
          <t>Records found</t>
        </is>
      </c>
      <c r="E27" s="76" t="inlineStr">
        <is>
          <t>Records found</t>
        </is>
      </c>
    </row>
    <row r="28">
      <c r="A28" s="76" t="inlineStr">
        <is>
          <t>Neighbour Committee of Adjustment applications</t>
        </is>
      </c>
      <c r="B28" s="31" t="n"/>
      <c r="C28" s="31" t="n"/>
      <c r="D28" s="76" t="inlineStr">
        <is>
          <t>Records found</t>
        </is>
      </c>
      <c r="E28" s="76" t="inlineStr">
        <is>
          <t>Records found</t>
        </is>
      </c>
    </row>
    <row r="29">
      <c r="A29" s="76" t="inlineStr">
        <is>
          <t>Neighbour building permits</t>
        </is>
      </c>
      <c r="B29" s="31" t="n"/>
      <c r="C29" s="31" t="n"/>
      <c r="D29" s="76" t="inlineStr">
        <is>
          <t>Records found</t>
        </is>
      </c>
      <c r="E29" s="76" t="inlineStr">
        <is>
          <t>Records found</t>
        </is>
      </c>
    </row>
    <row r="30">
      <c r="A30" s="76" t="inlineStr">
        <is>
          <t>Rezoning and Official Plan amendment applications</t>
        </is>
      </c>
      <c r="B30" s="31" t="n"/>
      <c r="C30" s="31" t="n"/>
      <c r="D30" s="77" t="inlineStr">
        <is>
          <t>Checked, none</t>
        </is>
      </c>
      <c r="E30" s="76" t="inlineStr">
        <is>
          <t>Records found</t>
        </is>
      </c>
    </row>
    <row r="31">
      <c r="A31" s="76" t="inlineStr">
        <is>
          <t>Zoning map</t>
        </is>
      </c>
      <c r="B31" s="31" t="n"/>
      <c r="C31" s="31" t="n"/>
      <c r="D31" s="76" t="inlineStr">
        <is>
          <t>Records found</t>
        </is>
      </c>
      <c r="E31" s="76" t="inlineStr">
        <is>
          <t>Records found</t>
        </is>
      </c>
    </row>
    <row r="32">
      <c r="A32" s="76" t="inlineStr">
        <is>
          <t>Height overlay</t>
        </is>
      </c>
      <c r="B32" s="31" t="n"/>
      <c r="C32" s="31" t="n"/>
      <c r="D32" s="76" t="inlineStr">
        <is>
          <t>Records found</t>
        </is>
      </c>
      <c r="E32" s="76" t="inlineStr">
        <is>
          <t>Records found</t>
        </is>
      </c>
    </row>
    <row r="33">
      <c r="A33" s="76" t="inlineStr">
        <is>
          <t>Lot coverage overlay</t>
        </is>
      </c>
      <c r="B33" s="31" t="n"/>
      <c r="C33" s="31" t="n"/>
      <c r="D33" s="77" t="inlineStr">
        <is>
          <t>Checked, none</t>
        </is>
      </c>
      <c r="E33" s="77" t="inlineStr">
        <is>
          <t>Checked, none</t>
        </is>
      </c>
    </row>
    <row r="34">
      <c r="A34" s="76" t="inlineStr">
        <is>
          <t>Building setback overlay</t>
        </is>
      </c>
      <c r="B34" s="31" t="n"/>
      <c r="C34" s="31" t="n"/>
      <c r="D34" s="77" t="inlineStr">
        <is>
          <t>Checked, none</t>
        </is>
      </c>
      <c r="E34" s="77" t="inlineStr">
        <is>
          <t>Checked, none</t>
        </is>
      </c>
    </row>
    <row r="35">
      <c r="A35" s="76" t="inlineStr">
        <is>
          <t>Secondary plans</t>
        </is>
      </c>
      <c r="B35" s="31" t="n"/>
      <c r="C35" s="31" t="n"/>
      <c r="D35" s="77" t="inlineStr">
        <is>
          <t>Checked, none</t>
        </is>
      </c>
      <c r="E35" s="77" t="inlineStr">
        <is>
          <t>Checked, none</t>
        </is>
      </c>
    </row>
    <row r="36">
      <c r="A36" s="76" t="inlineStr">
        <is>
          <t>Site and area specific policies</t>
        </is>
      </c>
      <c r="B36" s="31" t="n"/>
      <c r="C36" s="31" t="n"/>
      <c r="D36" s="77" t="inlineStr">
        <is>
          <t>Checked, none</t>
        </is>
      </c>
      <c r="E36" s="77" t="inlineStr">
        <is>
          <t>Checked, none</t>
        </is>
      </c>
    </row>
    <row r="38" ht="24" customHeight="1">
      <c r="A38" s="71" t="inlineStr">
        <is>
          <t>HOW THE NUMBERS ARE MADE</t>
        </is>
      </c>
      <c r="B38" s="22" t="n"/>
      <c r="C38" s="22" t="n"/>
      <c r="D38" s="22" t="n"/>
      <c r="E38" s="22" t="n"/>
    </row>
    <row r="39" ht="16" customHeight="1">
      <c r="A39" s="78" t="inlineStr">
        <is>
          <t>Decided</t>
        </is>
      </c>
      <c r="B39" s="79" t="inlineStr">
        <is>
          <t>Approved or refused. Deferred, withdrawn, awaiting-hearing and closed-without-a-decision files are listed but not counted.</t>
        </is>
      </c>
    </row>
    <row r="40" ht="16" customHeight="1">
      <c r="A40" s="78" t="inlineStr">
        <is>
          <t>Approval rate</t>
        </is>
      </c>
      <c r="B40" s="79" t="inlineStr">
        <is>
          <t>Approved ÷ decided, for Committee of Adjustment files within the radius.</t>
        </is>
      </c>
    </row>
    <row r="41" ht="16" customHeight="1">
      <c r="A41" s="78" t="inlineStr">
        <is>
          <t>Precedent</t>
        </is>
      </c>
      <c r="B41" s="79" t="inlineStr">
        <is>
          <t>Strong: 80% or more approved. Mixed: 50–79%. Weak: under 50%. Too few decisions: fewer than 3 decided files.</t>
        </is>
      </c>
    </row>
    <row r="42" ht="29" customHeight="1">
      <c r="A42" s="78" t="inlineStr">
        <is>
          <t>Weeks to hearing</t>
        </is>
      </c>
      <c r="B42" s="79" t="inlineStr">
        <is>
          <t>Median time from filing to hearing for decided files; "last 3 yrs" counts files filed in the three years before the run. Shown once 3 or more files qualify.</t>
        </is>
      </c>
    </row>
    <row r="43" ht="16" customHeight="1">
      <c r="A43" s="78" t="inlineStr">
        <is>
          <t>Project type</t>
        </is>
      </c>
      <c r="B43" s="79" t="inlineStr">
        <is>
          <t>From the City's application sub-type (new house or addition), refined by keywords for pools and decks, legalizations and severances.</t>
        </is>
      </c>
    </row>
    <row r="44" ht="16" customHeight="1">
      <c r="A44" s="78" t="inlineStr">
        <is>
          <t>Storeys</t>
        </is>
      </c>
      <c r="B44" s="79" t="inlineStr">
        <is>
          <t>Read from the first storey phrase in a new-house description.</t>
        </is>
      </c>
    </row>
    <row r="45" ht="16" customHeight="1">
      <c r="A45" s="78" t="inlineStr">
        <is>
          <t>Built under permit</t>
        </is>
      </c>
      <c r="B45" s="79" t="inlineStr">
        <is>
          <t>A variance counts as built when a building permit's description cites its decision number. That makes it a floor, not a full count.</t>
        </is>
      </c>
    </row>
    <row r="46" ht="16" customHeight="1">
      <c r="A46" s="78" t="inlineStr">
        <is>
          <t>Permit project</t>
        </is>
      </c>
      <c r="B46" s="79" t="inlineStr">
        <is>
          <t>Permits grouped by permit-number root (for example 22 111410 BLD, PLB, DRN and HVA are one project).</t>
        </is>
      </c>
    </row>
    <row r="47" ht="16" customHeight="1">
      <c r="A47" s="78" t="inlineStr">
        <is>
          <t>Est. cost</t>
        </is>
      </c>
      <c r="B47" s="79" t="inlineStr">
        <is>
          <t>The declared construction value on the permit. Left blank when missing, zero or outside the usual range for its structure type.</t>
        </is>
      </c>
    </row>
    <row r="48" ht="16" customHeight="1">
      <c r="A48" s="78" t="inlineStr">
        <is>
          <t>Distance</t>
        </is>
      </c>
      <c r="B48" s="79" t="inlineStr">
        <is>
          <t>Straight line between the City's address points, in metres.</t>
        </is>
      </c>
    </row>
    <row r="49" ht="68" customHeight="1">
      <c r="A49" s="78" t="inlineStr">
        <is>
          <t>Documents</t>
        </is>
      </c>
      <c r="B49" s="79" t="inlineStr">
        <is>
          <t>Where to get the record's papers, the same route as the HTML record card: Open on City site (the AIC still carries the file); Request from CoA staff (the AIC drops CoA files about 90 days after they're final; the Research Request Portal also sells 10 years of decision notices within 500 m for $150 + HST or 1,000 m for $300 + HST); Check permit status (open permits up to 10 years from application, closed ones for a month); Building records request (bldrecords@toronto.ca, $76.98, up to 30 business days); or developmentreview@toronto.ca for closed development applications.</t>
        </is>
      </c>
    </row>
    <row r="50" ht="16" customHeight="1">
      <c r="A50" s="78" t="inlineStr">
        <is>
          <t>Raw City data</t>
        </is>
      </c>
      <c r="B50" s="79" t="inlineStr">
        <is>
          <t>Opens the exact Open Data row(s) the numbers came from, as raw JSON.</t>
        </is>
      </c>
    </row>
    <row r="52" ht="24" customHeight="1">
      <c r="A52" s="71" t="inlineStr">
        <is>
          <t>LIMITS</t>
        </is>
      </c>
      <c r="B52" s="22" t="n"/>
      <c r="C52" s="22" t="n"/>
      <c r="D52" s="22" t="n"/>
      <c r="E52" s="22" t="n"/>
    </row>
    <row r="53" ht="16" customHeight="1">
      <c r="A53" s="79" t="inlineStr">
        <is>
          <t>•  Precedent covers applications in each lot's postal area only, so files just across its boundary are missing.</t>
        </is>
      </c>
    </row>
    <row r="54" ht="16" customHeight="1">
      <c r="A54" s="79" t="inlineStr">
        <is>
          <t>•  The City's open data describes each project but not which by-law rules were varied or by how much, so requested and permitted numbers can't be compared.</t>
        </is>
      </c>
    </row>
    <row r="55" ht="16" customHeight="1">
      <c r="A55" s="79" t="inlineStr">
        <is>
          <t>•  Exception and by-law text isn't read, and the Official Plan land-use designation isn't loaded.</t>
        </is>
      </c>
    </row>
    <row r="56" ht="16" customHeight="1">
      <c r="A56" s="79" t="inlineStr">
        <is>
          <t>•  Records start in 2017 (closed CoA files and cleared permits).</t>
        </is>
      </c>
    </row>
    <row r="58">
      <c r="A58" s="80" t="inlineStr">
        <is>
          <t>Contains information licensed under the Open Government Licence – Toronto.</t>
        </is>
      </c>
      <c r="C58" s="57" t="inlineStr">
        <is>
          <t>Licence</t>
        </is>
      </c>
    </row>
    <row r="59">
      <c r="A59" s="80" t="inlineStr">
        <is>
          <t>Parcis Zoning Agent. Not a legal opinion; confirm with the City before relying on it.</t>
        </is>
      </c>
    </row>
  </sheetData>
  <mergeCells count="36">
    <mergeCell ref="B40:E40"/>
    <mergeCell ref="A59:E59"/>
    <mergeCell ref="B49:E49"/>
    <mergeCell ref="A24:E24"/>
    <mergeCell ref="A27:C27"/>
    <mergeCell ref="A1:E1"/>
    <mergeCell ref="A26:C26"/>
    <mergeCell ref="B45:E45"/>
    <mergeCell ref="B41:E41"/>
    <mergeCell ref="A33:C33"/>
    <mergeCell ref="B50:E50"/>
    <mergeCell ref="A54:E54"/>
    <mergeCell ref="A32:C32"/>
    <mergeCell ref="B47:E47"/>
    <mergeCell ref="A29:C29"/>
    <mergeCell ref="A35:C35"/>
    <mergeCell ref="B46:E46"/>
    <mergeCell ref="A56:E56"/>
    <mergeCell ref="A28:C28"/>
    <mergeCell ref="A55:E55"/>
    <mergeCell ref="A2:E2"/>
    <mergeCell ref="B43:E43"/>
    <mergeCell ref="A31:C31"/>
    <mergeCell ref="B48:E48"/>
    <mergeCell ref="B39:E39"/>
    <mergeCell ref="A5:E5"/>
    <mergeCell ref="A23:E23"/>
    <mergeCell ref="A30:C30"/>
    <mergeCell ref="A34:C34"/>
    <mergeCell ref="B42:E42"/>
    <mergeCell ref="A53:E53"/>
    <mergeCell ref="A36:C36"/>
    <mergeCell ref="A38:E38"/>
    <mergeCell ref="A52:E52"/>
    <mergeCell ref="B44:E44"/>
    <mergeCell ref="A58:B58"/>
  </mergeCells>
  <hyperlinks>
    <hyperlink ref="A3" location="'Summary'!A1" display="← Summary"/>
    <hyperlink xmlns:r="http://schemas.openxmlformats.org/officeDocument/2006/relationships" ref="C7"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58" r:id="rId16"/>
  </hyperlinks>
  <pageMargins left="0.4" right="0.4" top="0.5" bottom="0.5" header="0.5" footer="0.5"/>
  <pageSetup orientation="landscape" paperSize="1" fitToHeight="0" fitToWidth="1"/>
  <headerFooter>
    <oddHeader>&amp;R&amp;8 &amp;K8A7E72Parcis · Evaluation copy</oddHeader>
    <oddFooter>&amp;L&amp;8 Parcis · © 2026 Joshua Seaton. All rights reserved. Evaluation copy.&amp;C&amp;8 &amp;A&amp;R&amp;8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Parcis Zoning Agent</dc:creator>
  <dc:title>Parcis Zoning Reports</dc:title>
  <dc:description>Parcis · © 2026 Joshua Seaton. All rights reserved. Evaluation copy.</dc:description>
  <dcterms:created xsi:type="dcterms:W3CDTF">2026-09-30T15:29:43Z</dcterms:created>
  <dcterms:modified xsi:type="dcterms:W3CDTF">2026-09-30T15:29:43Z</dcterms:modified>
  <cp:keywords>Parcis · Evaluation copy</cp:keywords>
</cp:coreProperties>
</file>